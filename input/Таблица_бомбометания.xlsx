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https://d.docs.live.net/b5eac1855efb09b4/Робочий стіл/"/>
    </mc:Choice>
  </mc:AlternateContent>
  <xr:revisionPtr revIDLastSave="2" documentId="11_95F3324B389543AB7CB8A96F915FB6305BA65762" xr6:coauthVersionLast="45" xr6:coauthVersionMax="45" xr10:uidLastSave="{4074ED2A-F1DB-4BFA-88F2-77CBC08B9981}"/>
  <bookViews>
    <workbookView xWindow="-108" yWindow="-108" windowWidth="23256" windowHeight="12456" tabRatio="500" xr2:uid="{00000000-000D-0000-FFFF-FFFF00000000}"/>
  </bookViews>
  <sheets>
    <sheet name="Лист1" sheetId="1" r:id="rId1"/>
    <sheet name="Лист2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B9" i="1" l="1"/>
  <c r="B10" i="1" l="1"/>
  <c r="A8" i="2"/>
  <c r="C10" i="1"/>
  <c r="D3" i="1"/>
  <c r="D4" i="1" s="1"/>
  <c r="D5" i="1" l="1"/>
  <c r="E4" i="1"/>
  <c r="E3" i="1"/>
  <c r="E5" i="1" l="1"/>
  <c r="D6" i="1"/>
  <c r="C33" i="1" s="1"/>
  <c r="D7" i="1" l="1"/>
  <c r="E6" i="1"/>
  <c r="E7" i="1" l="1"/>
  <c r="D8" i="1"/>
  <c r="E8" i="1" l="1"/>
  <c r="D9" i="1"/>
  <c r="E9" i="1" l="1"/>
  <c r="D10" i="1"/>
  <c r="D11" i="1" l="1"/>
  <c r="E10" i="1"/>
  <c r="E11" i="1" l="1"/>
  <c r="D12" i="1"/>
  <c r="E12" i="1" l="1"/>
  <c r="D13" i="1"/>
  <c r="E13" i="1" l="1"/>
  <c r="D14" i="1"/>
  <c r="E14" i="1" l="1"/>
  <c r="D15" i="1"/>
  <c r="E15" i="1" l="1"/>
  <c r="D16" i="1"/>
  <c r="E16" i="1" l="1"/>
  <c r="D17" i="1"/>
  <c r="E17" i="1" l="1"/>
  <c r="D18" i="1"/>
  <c r="E18" i="1" l="1"/>
  <c r="D19" i="1"/>
  <c r="E19" i="1" l="1"/>
  <c r="D20" i="1"/>
  <c r="E20" i="1" l="1"/>
  <c r="D21" i="1"/>
  <c r="E21" i="1" l="1"/>
  <c r="D22" i="1"/>
  <c r="E22" i="1" l="1"/>
  <c r="D23" i="1"/>
  <c r="E23" i="1" s="1"/>
  <c r="B3" i="1" l="1"/>
  <c r="C4" i="1" l="1"/>
  <c r="B4" i="1" l="1"/>
  <c r="B5" i="1"/>
  <c r="H13" i="1" s="1"/>
  <c r="F17" i="1" l="1"/>
  <c r="F4" i="1"/>
  <c r="F19" i="1"/>
  <c r="F5" i="1"/>
  <c r="F21" i="1"/>
  <c r="F15" i="1"/>
  <c r="F22" i="1"/>
  <c r="F11" i="1"/>
  <c r="F13" i="1"/>
  <c r="G13" i="1" s="1"/>
  <c r="F7" i="1"/>
  <c r="F9" i="1"/>
  <c r="J13" i="1"/>
  <c r="I13" i="1"/>
  <c r="F3" i="1"/>
  <c r="F8" i="1"/>
  <c r="F12" i="1"/>
  <c r="F16" i="1"/>
  <c r="F20" i="1"/>
  <c r="H16" i="1"/>
  <c r="H23" i="1"/>
  <c r="H20" i="1"/>
  <c r="H12" i="1"/>
  <c r="H14" i="1"/>
  <c r="H3" i="1"/>
  <c r="H9" i="1"/>
  <c r="G9" i="1" s="1"/>
  <c r="H15" i="1"/>
  <c r="H18" i="1"/>
  <c r="H7" i="1"/>
  <c r="H6" i="1"/>
  <c r="F6" i="1"/>
  <c r="F10" i="1"/>
  <c r="F14" i="1"/>
  <c r="F18" i="1"/>
  <c r="F23" i="1"/>
  <c r="H11" i="1"/>
  <c r="H21" i="1"/>
  <c r="H10" i="1"/>
  <c r="H17" i="1"/>
  <c r="H5" i="1"/>
  <c r="G5" i="1" s="1"/>
  <c r="H4" i="1"/>
  <c r="G4" i="1" s="1"/>
  <c r="H8" i="1"/>
  <c r="H22" i="1"/>
  <c r="H19" i="1"/>
  <c r="G19" i="1" s="1"/>
  <c r="K13" i="1" l="1"/>
  <c r="G15" i="1"/>
  <c r="G11" i="1"/>
  <c r="G22" i="1"/>
  <c r="G14" i="1"/>
  <c r="G12" i="1"/>
  <c r="G10" i="1"/>
  <c r="G6" i="1"/>
  <c r="G18" i="1"/>
  <c r="G16" i="1"/>
  <c r="J8" i="1"/>
  <c r="I8" i="1"/>
  <c r="I20" i="1"/>
  <c r="J20" i="1"/>
  <c r="I3" i="1"/>
  <c r="J3" i="1"/>
  <c r="G8" i="1"/>
  <c r="A29" i="1"/>
  <c r="I6" i="1"/>
  <c r="A27" i="1" s="1"/>
  <c r="J6" i="1"/>
  <c r="C27" i="1" s="1"/>
  <c r="J21" i="1"/>
  <c r="I21" i="1"/>
  <c r="I7" i="1"/>
  <c r="J7" i="1"/>
  <c r="I23" i="1"/>
  <c r="J23" i="1"/>
  <c r="J5" i="1"/>
  <c r="I5" i="1"/>
  <c r="J17" i="1"/>
  <c r="I17" i="1"/>
  <c r="G3" i="1"/>
  <c r="I16" i="1"/>
  <c r="J16" i="1"/>
  <c r="G7" i="1"/>
  <c r="J4" i="1"/>
  <c r="I4" i="1"/>
  <c r="I14" i="1"/>
  <c r="J14" i="1"/>
  <c r="I12" i="1"/>
  <c r="J12" i="1"/>
  <c r="J10" i="1"/>
  <c r="I10" i="1"/>
  <c r="J19" i="1"/>
  <c r="I19" i="1"/>
  <c r="J11" i="1"/>
  <c r="I11" i="1"/>
  <c r="I18" i="1"/>
  <c r="J18" i="1"/>
  <c r="J22" i="1"/>
  <c r="I22" i="1"/>
  <c r="G23" i="1"/>
  <c r="I15" i="1"/>
  <c r="J15" i="1"/>
  <c r="G20" i="1"/>
  <c r="G21" i="1"/>
  <c r="G17" i="1"/>
  <c r="I9" i="1"/>
  <c r="J9" i="1"/>
  <c r="K19" i="1" l="1"/>
  <c r="K4" i="1"/>
  <c r="K5" i="1"/>
  <c r="K3" i="1"/>
  <c r="K11" i="1"/>
  <c r="K17" i="1"/>
  <c r="K21" i="1"/>
  <c r="K8" i="1"/>
  <c r="K22" i="1"/>
  <c r="K10" i="1"/>
  <c r="K16" i="1"/>
  <c r="K7" i="1"/>
  <c r="K12" i="1"/>
  <c r="K14" i="1"/>
  <c r="K20" i="1"/>
  <c r="K9" i="1"/>
  <c r="K23" i="1"/>
  <c r="K18" i="1"/>
  <c r="K15" i="1"/>
  <c r="K6" i="1"/>
</calcChain>
</file>

<file path=xl/sharedStrings.xml><?xml version="1.0" encoding="utf-8"?>
<sst xmlns="http://schemas.openxmlformats.org/spreadsheetml/2006/main" count="72" uniqueCount="61">
  <si>
    <t>Входные параметры</t>
  </si>
  <si>
    <t>Расчетные параметры</t>
  </si>
  <si>
    <t>Высота бомбометания
(метры)</t>
  </si>
  <si>
    <t>Время падения бомбы
(секунды)</t>
  </si>
  <si>
    <t>Смещение самолета за время падения бомбы
(метры)</t>
  </si>
  <si>
    <t>Отставание бомбы 
(метры)</t>
  </si>
  <si>
    <t>Относ
(дистанция бомбометания с учетом задержки механизма сброса)
(метры)</t>
  </si>
  <si>
    <t>Широта точки сброса</t>
  </si>
  <si>
    <t>Долгота точки сброса</t>
  </si>
  <si>
    <t>Контрольный расчет расстояния 
(пересчет расстояния через координаты) 
(метры)</t>
  </si>
  <si>
    <t>Широта цели</t>
  </si>
  <si>
    <t>Радиус земли на выбранной широте</t>
  </si>
  <si>
    <t>Долгота цели</t>
  </si>
  <si>
    <t>Скорость самолета (м/с)</t>
  </si>
  <si>
    <t>Экваториальный радиус</t>
  </si>
  <si>
    <t>Вес бомбы (кг.)</t>
  </si>
  <si>
    <t>Диаметр миделя бомбы (метры)</t>
  </si>
  <si>
    <t>Полярный радиус</t>
  </si>
  <si>
    <t>Коэффициент формы бомбы</t>
  </si>
  <si>
    <t>Направления ветра 
(азимут точки откуда дует ветер)</t>
  </si>
  <si>
    <t>Баллистический коэффициент</t>
  </si>
  <si>
    <t>Скорость ветра (м/c)</t>
  </si>
  <si>
    <t>Атмосферное давление на уровне моря</t>
  </si>
  <si>
    <t xml:space="preserve">Температура </t>
  </si>
  <si>
    <t>Шаг высот в таблице</t>
  </si>
  <si>
    <t>Задержка механизма сброса (миллисекунд)</t>
  </si>
  <si>
    <t xml:space="preserve">ENTRY POINT LATITUDE </t>
  </si>
  <si>
    <t>ENTRY POINT LONGITUDE</t>
  </si>
  <si>
    <t>PASTE ENTRY POINT</t>
  </si>
  <si>
    <t>DROP POINT  LATITUDE</t>
  </si>
  <si>
    <t>DROP POINT LONGITUDE</t>
  </si>
  <si>
    <t>55.7505343</t>
  </si>
  <si>
    <t>COPY</t>
  </si>
  <si>
    <t>37.6150287</t>
  </si>
  <si>
    <t>BALLISTIC DISTANCE</t>
  </si>
  <si>
    <t>146.3</t>
  </si>
  <si>
    <t>TARGET POINT LATITUDE</t>
  </si>
  <si>
    <t>TARGET POINT LONGITUDE</t>
  </si>
  <si>
    <t>PASTE TARGET POINT</t>
  </si>
  <si>
    <t>AIR SPEED</t>
  </si>
  <si>
    <t>WIND</t>
  </si>
  <si>
    <t>ALTITUDE</t>
  </si>
  <si>
    <t>CALCULATE STRIKE</t>
  </si>
  <si>
    <t>ЦІЛЬ</t>
  </si>
  <si>
    <t>СКИД</t>
  </si>
  <si>
    <t>Столбец1</t>
  </si>
  <si>
    <t>Столбец2</t>
  </si>
  <si>
    <t>Столбец3</t>
  </si>
  <si>
    <t>Столбец4</t>
  </si>
  <si>
    <t>Столбец5</t>
  </si>
  <si>
    <t>Столбец6</t>
  </si>
  <si>
    <t>Столбец7</t>
  </si>
  <si>
    <t>Столбец8</t>
  </si>
  <si>
    <t>Столбец9</t>
  </si>
  <si>
    <t>Столбец10</t>
  </si>
  <si>
    <t>Столбец11</t>
  </si>
  <si>
    <t>азимут вітра</t>
  </si>
  <si>
    <t>DROP POINT  LATITUDE X</t>
  </si>
  <si>
    <t>DROP POINT LONGITUDE Y</t>
  </si>
  <si>
    <t>TARGET POINT LATITUDE X</t>
  </si>
  <si>
    <t>TARGET POINT LONGITUDE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</si>
</sst>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00000"/>
    <numFmt numFmtId="165" formatCode="#,##0.0"/>
    <numFmt numFmtId="166" formatCode="#,##0.000000000"/>
    <numFmt numFmtId="167" formatCode="0.0"/>
    <numFmt numFmtId="168" formatCode="0.000"/>
    <numFmt numFmtId="169" formatCode="#,##0.000"/>
    <numFmt numFmtId="170" formatCode="#,##0.0000000000"/>
  </numFmts>
  <fonts count="9" x14ac:knownFonts="1">
    <font>
      <sz val="10"/>
      <name val="Arial"/>
      <family val="2"/>
      <charset val="204"/>
    </font>
    <font>
      <sz val="12"/>
      <name val="Arial"/>
      <family val="2"/>
      <charset val="204"/>
    </font>
    <font>
      <sz val="10"/>
      <name val="Arial"/>
      <family val="2"/>
      <charset val="1"/>
    </font>
    <font>
      <sz val="11"/>
      <color theme="0"/>
      <name val="Calisto MT"/>
      <family val="2"/>
      <charset val="204"/>
      <scheme val="minor"/>
    </font>
    <font>
      <b/>
      <sz val="22"/>
      <color theme="0"/>
      <name val="Calisto MT"/>
      <family val="2"/>
      <charset val="204"/>
      <scheme val="minor"/>
    </font>
    <font>
      <sz val="11"/>
      <name val="Calisto MT"/>
      <family val="2"/>
      <charset val="204"/>
      <scheme val="minor"/>
    </font>
    <font>
      <sz val="22"/>
      <color theme="0"/>
      <name val="Calisto MT"/>
      <family val="2"/>
      <charset val="204"/>
      <scheme val="minor"/>
    </font>
    <font>
      <sz val="10"/>
      <color theme="0"/>
      <name val="Arial"/>
      <family val="2"/>
      <charset val="204"/>
    </font>
    <font>
      <sz val="22"/>
      <color theme="0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D7"/>
        <bgColor rgb="FFFFFFFF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0" fillId="0" borderId="2" xfId="0" applyNumberFormat="1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65" fontId="1" fillId="2" borderId="3" xfId="0" applyNumberFormat="1" applyFont="1" applyFill="1" applyBorder="1" applyAlignment="1">
      <alignment horizontal="center" vertical="center"/>
    </xf>
    <xf numFmtId="166" fontId="1" fillId="2" borderId="3" xfId="0" applyNumberFormat="1" applyFont="1" applyFill="1" applyBorder="1" applyAlignment="1">
      <alignment horizontal="center" vertical="center"/>
    </xf>
    <xf numFmtId="0" fontId="0" fillId="0" borderId="3" xfId="0" applyFont="1" applyBorder="1" applyAlignment="1">
      <alignment vertical="center"/>
    </xf>
    <xf numFmtId="4" fontId="2" fillId="0" borderId="2" xfId="0" applyNumberFormat="1" applyFont="1" applyBorder="1" applyAlignment="1">
      <alignment horizontal="center" vertical="center" wrapText="1"/>
    </xf>
    <xf numFmtId="167" fontId="1" fillId="2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8" fontId="1" fillId="0" borderId="1" xfId="0" applyNumberFormat="1" applyFont="1" applyBorder="1" applyAlignment="1">
      <alignment horizontal="center" vertical="center"/>
    </xf>
    <xf numFmtId="16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0" fontId="0" fillId="0" borderId="2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/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0" fillId="8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0" fillId="9" borderId="0" xfId="0" applyFill="1"/>
    <xf numFmtId="0" fontId="4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/>
    </xf>
    <xf numFmtId="0" fontId="0" fillId="9" borderId="3" xfId="0" applyFont="1" applyFill="1" applyBorder="1" applyAlignment="1">
      <alignment horizontal="center" vertical="center"/>
    </xf>
    <xf numFmtId="166" fontId="0" fillId="9" borderId="3" xfId="0" applyNumberFormat="1" applyFill="1" applyBorder="1" applyAlignment="1">
      <alignment vertical="center"/>
    </xf>
    <xf numFmtId="0" fontId="0" fillId="9" borderId="3" xfId="0" applyFont="1" applyFill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2" borderId="7" xfId="0" applyFont="1" applyFill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7" xfId="0" applyFont="1" applyBorder="1" applyAlignment="1">
      <alignment vertical="center"/>
    </xf>
    <xf numFmtId="0" fontId="0" fillId="0" borderId="5" xfId="0" applyFont="1" applyBorder="1" applyAlignment="1">
      <alignment horizontal="center" vertical="center" wrapText="1"/>
    </xf>
    <xf numFmtId="165" fontId="0" fillId="0" borderId="5" xfId="0" applyNumberForma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0" fillId="0" borderId="15" xfId="0" applyFont="1" applyBorder="1" applyAlignment="1">
      <alignment vertical="center"/>
    </xf>
    <xf numFmtId="0" fontId="1" fillId="2" borderId="16" xfId="0" applyFont="1" applyFill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165" fontId="1" fillId="2" borderId="16" xfId="0" applyNumberFormat="1" applyFont="1" applyFill="1" applyBorder="1" applyAlignment="1">
      <alignment horizontal="center" vertical="center"/>
    </xf>
    <xf numFmtId="166" fontId="1" fillId="2" borderId="16" xfId="0" applyNumberFormat="1" applyFont="1" applyFill="1" applyBorder="1" applyAlignment="1">
      <alignment horizontal="center" vertical="center"/>
    </xf>
    <xf numFmtId="165" fontId="0" fillId="0" borderId="17" xfId="0" applyNumberFormat="1" applyBorder="1" applyAlignment="1">
      <alignment horizontal="center" vertical="center"/>
    </xf>
    <xf numFmtId="166" fontId="4" fillId="12" borderId="18" xfId="0" applyNumberFormat="1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0" fillId="3" borderId="18" xfId="0" applyFill="1" applyBorder="1"/>
    <xf numFmtId="0" fontId="6" fillId="13" borderId="18" xfId="0" applyFont="1" applyFill="1" applyBorder="1" applyAlignment="1">
      <alignment horizontal="center" vertical="center"/>
    </xf>
    <xf numFmtId="0" fontId="8" fillId="14" borderId="18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165" fontId="4" fillId="12" borderId="18" xfId="0" applyNumberFormat="1" applyFont="1" applyFill="1" applyBorder="1" applyAlignment="1">
      <alignment horizontal="center" vertical="center"/>
    </xf>
    <xf numFmtId="0" fontId="8" fillId="11" borderId="18" xfId="0" applyFont="1" applyFill="1" applyBorder="1" applyAlignment="1">
      <alignment horizontal="center" vertical="center"/>
    </xf>
    <xf numFmtId="164" fontId="4" fillId="10" borderId="18" xfId="0" applyNumberFormat="1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167" fontId="4" fillId="7" borderId="18" xfId="0" applyNumberFormat="1" applyFont="1" applyFill="1" applyBorder="1" applyAlignment="1">
      <alignment horizontal="center" vertical="center"/>
    </xf>
    <xf numFmtId="169" fontId="4" fillId="7" borderId="18" xfId="0" applyNumberFormat="1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  <xf numFmtId="0" fontId="0" fillId="8" borderId="18" xfId="0" applyFill="1" applyBorder="1" applyAlignment="1">
      <alignment vertical="center"/>
    </xf>
  </cellXfs>
  <cellStyles count="1">
    <cellStyle name="Обычный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fill>
        <patternFill patternType="solid">
          <fgColor rgb="FFFFFFFF"/>
          <bgColor rgb="FFFFFFD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fill>
        <patternFill patternType="solid">
          <fgColor rgb="FFFFFFFF"/>
          <bgColor rgb="FFFFFFD7"/>
        </patternFill>
      </fill>
      <alignment horizontal="center" vertical="center" textRotation="0" wrapText="0" indent="0" justifyLastLine="0" shrinkToFit="0" readingOrder="0"/>
    </dxf>
    <dxf>
      <numFmt numFmtId="165" formatCode="#,##0.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66" formatCode="#,##0.000000000"/>
      <fill>
        <patternFill patternType="solid">
          <fgColor rgb="FFFFFFFF"/>
          <bgColor rgb="FFFFFFD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66" formatCode="#,##0.000000000"/>
      <fill>
        <patternFill patternType="solid">
          <fgColor rgb="FFFFFFFF"/>
          <bgColor rgb="FFFFFFD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65" formatCode="#,##0.0"/>
      <fill>
        <patternFill patternType="solid">
          <fgColor rgb="FFFFFFFF"/>
          <bgColor rgb="FFFFFFD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fill>
        <patternFill patternType="solid">
          <fgColor rgb="FFFFFFFF"/>
          <bgColor rgb="FFFFFFD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ck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A80507-03BE-4F6D-8538-3B3391695269}" name="Таблица1" displayName="Таблица1" ref="A1:K23" totalsRowShown="0" headerRowDxfId="0" dataDxfId="1" headerRowBorderDxfId="14" tableBorderDxfId="15" totalsRowBorderDxfId="13">
  <autoFilter ref="A1:K23" xr:uid="{A31CB9AA-336A-42B3-AABD-49B3B5B2BBA0}"/>
  <tableColumns count="11">
    <tableColumn id="1" xr3:uid="{DCD1C342-B1AF-42DA-AD61-71FADF7387A5}" name="Столбец1" dataDxfId="12"/>
    <tableColumn id="2" xr3:uid="{9457C52E-3279-4876-8D19-172622113F5A}" name="Столбец2" dataDxfId="11"/>
    <tableColumn id="3" xr3:uid="{319180FB-608F-4767-956E-EFE3083294CF}" name="Столбец3" dataDxfId="10"/>
    <tableColumn id="4" xr3:uid="{0C5AE662-806D-4521-9146-4DA1E32F3039}" name="Столбец4" dataDxfId="9">
      <calculatedColumnFormula>D1+$B$13</calculatedColumnFormula>
    </tableColumn>
    <tableColumn id="5" xr3:uid="{74F62AD1-F6DB-4014-A7BA-576F8517A353}" name="Столбец5" dataDxfId="8">
      <calculatedColumnFormula>SQRT(2*D2/9.81)</calculatedColumnFormula>
    </tableColumn>
    <tableColumn id="6" xr3:uid="{5BC2242D-1750-4D62-9AE8-F5EE0ADE0EC8}" name="Столбец6" dataDxfId="7">
      <calculatedColumnFormula>$B$5*E2</calculatedColumnFormula>
    </tableColumn>
    <tableColumn id="7" xr3:uid="{71B058FE-B176-4845-AA23-195D1571EA1C}" name="Столбец7" dataDxfId="6">
      <calculatedColumnFormula>F2-$H2</calculatedColumnFormula>
    </tableColumn>
    <tableColumn id="8" xr3:uid="{C3A3A252-5E7F-4638-A358-0E89B9E326E5}" name="Столбец8" dataDxfId="5">
      <calculatedColumnFormula>(1.85/$C$10)*LOG10(1+$C$10*$B$5*($E2+($B$14/1000)*AND($E2,$E2)))</calculatedColumnFormula>
    </tableColumn>
    <tableColumn id="9" xr3:uid="{872C1233-A675-4964-8550-A8045C017C80}" name="Столбец9" dataDxfId="4">
      <calculatedColumnFormula>90-DEGREES(ACOS(COS(RADIANS(90-$B$3))*COS($H2/$C$4)+SIN(RADIANS(90-$B$3))*SIN($H2/$C$4)*COS(RADIANS(180 - $B$9))))</calculatedColumnFormula>
    </tableColumn>
    <tableColumn id="10" xr3:uid="{9C077438-3CFB-47C3-9E7C-662152D9F9C2}" name="Столбец10" dataDxfId="3">
      <calculatedColumnFormula>$B$4-DEGREES(ASIN(SIN($H2/$C$4)*SIN(RADIANS(180 - $B$9))/SIN(ACOS(COS(RADIANS(90-$B$3))*COS($H2/$C$4)+SIN(RADIANS(90-$B$3))*SIN($H2/$C$4)*COS(RADIANS(180 - $B$9))))))</calculatedColumnFormula>
    </tableColumn>
    <tableColumn id="11" xr3:uid="{1332C640-3F79-4364-AD2C-92A2980B80CA}" name="Столбец11" dataDxfId="2">
      <calculatedColumnFormula>2*$C$4*ASIN(SQRT(SIN(RADIANS(I2-$B$3)/2)^2+COS(RADIANS($B$3))*COS(RADIANS(I2))*SIN(RADIANS(J2-$B$4)/2)^2))</calculatedColumnFormula>
    </tableColumn>
  </tableColumns>
  <tableStyleInfo name="TableStyleMedium1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Сланец">
  <a:themeElements>
    <a:clrScheme name="Сланец">
      <a:dk1>
        <a:sysClr val="windowText" lastClr="000000"/>
      </a:dk1>
      <a:lt1>
        <a:sysClr val="window" lastClr="FFFFFF"/>
      </a:lt1>
      <a:dk2>
        <a:srgbClr val="212123"/>
      </a:dk2>
      <a:lt2>
        <a:srgbClr val="DADADA"/>
      </a:lt2>
      <a:accent1>
        <a:srgbClr val="BC451B"/>
      </a:accent1>
      <a:accent2>
        <a:srgbClr val="D3BA68"/>
      </a:accent2>
      <a:accent3>
        <a:srgbClr val="BB8640"/>
      </a:accent3>
      <a:accent4>
        <a:srgbClr val="AD9277"/>
      </a:accent4>
      <a:accent5>
        <a:srgbClr val="A55A43"/>
      </a:accent5>
      <a:accent6>
        <a:srgbClr val="AD9D7B"/>
      </a:accent6>
      <a:hlink>
        <a:srgbClr val="E98052"/>
      </a:hlink>
      <a:folHlink>
        <a:srgbClr val="F4B69B"/>
      </a:folHlink>
    </a:clrScheme>
    <a:fontScheme name="Сланец">
      <a:majorFont>
        <a:latin typeface="Calisto MT" panose="02040603050505030304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alisto MT" panose="02040603050505030304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ланец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0000"/>
                <a:lumMod val="90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63500" dist="25400" dir="5400000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76200" dist="38100" dir="5400000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 prst="hardEdge"/>
          </a:sp3d>
        </a:effectStyle>
      </a:effectStyleLst>
      <a:bgFillStyleLst>
        <a:solidFill>
          <a:schemeClr val="phClr"/>
        </a:solidFill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shade val="80000"/>
                <a:lumMod val="80000"/>
              </a:schemeClr>
              <a:schemeClr val="phClr">
                <a:tint val="98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ate" id="{C3F70B94-7CE9-428E-ADC1-3269CC2C3385}" vid="{3F2DE9A5-64E6-437C-A389-CC4477E817E8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286"/>
  <sheetViews>
    <sheetView tabSelected="1" topLeftCell="A16" zoomScale="60" zoomScaleNormal="60" workbookViewId="0">
      <selection activeCell="B34" sqref="B34"/>
    </sheetView>
  </sheetViews>
  <sheetFormatPr defaultColWidth="11.6640625" defaultRowHeight="15" x14ac:dyDescent="0.25"/>
  <cols>
    <col min="1" max="1" width="52.33203125" customWidth="1"/>
    <col min="2" max="2" width="18.44140625" style="1" customWidth="1"/>
    <col min="3" max="3" width="32.21875" customWidth="1"/>
    <col min="4" max="4" width="20.6640625" customWidth="1"/>
    <col min="5" max="5" width="26.109375" customWidth="1"/>
    <col min="6" max="6" width="30.44140625" customWidth="1"/>
    <col min="7" max="7" width="26.109375" customWidth="1"/>
    <col min="8" max="8" width="28.77734375" customWidth="1"/>
    <col min="9" max="9" width="21.5546875" customWidth="1"/>
    <col min="10" max="10" width="21.33203125" customWidth="1"/>
    <col min="11" max="11" width="22.21875" customWidth="1"/>
  </cols>
  <sheetData>
    <row r="1" spans="1:1024" s="6" customFormat="1" ht="107.4" customHeight="1" x14ac:dyDescent="0.25">
      <c r="A1" s="47" t="s">
        <v>45</v>
      </c>
      <c r="B1" s="48" t="s">
        <v>46</v>
      </c>
      <c r="C1" s="49" t="s">
        <v>47</v>
      </c>
      <c r="D1" s="50" t="s">
        <v>48</v>
      </c>
      <c r="E1" s="51" t="s">
        <v>49</v>
      </c>
      <c r="F1" s="51" t="s">
        <v>50</v>
      </c>
      <c r="G1" s="51" t="s">
        <v>51</v>
      </c>
      <c r="H1" s="50" t="s">
        <v>52</v>
      </c>
      <c r="I1" s="50" t="s">
        <v>53</v>
      </c>
      <c r="J1" s="50" t="s">
        <v>54</v>
      </c>
      <c r="K1" s="52" t="s">
        <v>55</v>
      </c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AMI1"/>
      <c r="AMJ1"/>
    </row>
    <row r="2" spans="1:1024" s="13" customFormat="1" ht="23.25" customHeight="1" x14ac:dyDescent="0.25">
      <c r="A2" s="41" t="s">
        <v>0</v>
      </c>
      <c r="B2" s="32"/>
      <c r="C2" s="3" t="s">
        <v>1</v>
      </c>
      <c r="D2" s="4" t="s">
        <v>2</v>
      </c>
      <c r="E2" s="5" t="s">
        <v>3</v>
      </c>
      <c r="F2" s="5" t="s">
        <v>4</v>
      </c>
      <c r="G2" s="5" t="s">
        <v>5</v>
      </c>
      <c r="H2" s="4" t="s">
        <v>6</v>
      </c>
      <c r="I2" s="4" t="s">
        <v>7</v>
      </c>
      <c r="J2" s="4" t="s">
        <v>8</v>
      </c>
      <c r="K2" s="45" t="s">
        <v>9</v>
      </c>
      <c r="L2" s="39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AMI2"/>
      <c r="AMJ2"/>
    </row>
    <row r="3" spans="1:1024" s="13" customFormat="1" ht="28.5" customHeight="1" x14ac:dyDescent="0.25">
      <c r="A3" s="42" t="s">
        <v>10</v>
      </c>
      <c r="B3" s="7">
        <f>A31</f>
        <v>49.976147998999998</v>
      </c>
      <c r="C3" s="8" t="s">
        <v>11</v>
      </c>
      <c r="D3" s="9">
        <f>0</f>
        <v>0</v>
      </c>
      <c r="E3" s="10">
        <f t="shared" ref="E3:E23" si="0">SQRT(2*D3/9.81)</f>
        <v>0</v>
      </c>
      <c r="F3" s="10">
        <f>$B$5*E3</f>
        <v>0</v>
      </c>
      <c r="G3" s="10">
        <f>F3-$H3</f>
        <v>0</v>
      </c>
      <c r="H3" s="11">
        <f>(1.85/$C$10)*LOG10(1+$C$10*$B$5*($E3+($B$14/1000)*AND($E3,$E3)))</f>
        <v>0</v>
      </c>
      <c r="I3" s="12">
        <f>90-DEGREES(ACOS(COS(RADIANS(90-$B$3))*COS($H3/$C$4)+SIN(RADIANS(90-$B$3))*SIN($H3/$C$4)*COS(RADIANS(180 - $B$9))))</f>
        <v>49.976147998999998</v>
      </c>
      <c r="J3" s="12">
        <f>$B$4-DEGREES(ASIN(SIN($H3/$C$4)*SIN(RADIANS(180 - $B$9))/SIN(ACOS(COS(RADIANS(90-$B$3))*COS($H3/$C$4)+SIN(RADIANS(90-$B$3))*SIN($H3/$C$4)*COS(RADIANS(180 - $B$9))))))</f>
        <v>36.019647063310003</v>
      </c>
      <c r="K3" s="46">
        <f>2*$C$4*ASIN(SQRT(SIN(RADIANS(I3-$B$3)/2)^2+COS(RADIANS($B$3))*COS(RADIANS(I3))*SIN(RADIANS(J3-$B$4)/2)^2))</f>
        <v>0</v>
      </c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0"/>
      <c r="BT3" s="40"/>
      <c r="BU3" s="40"/>
      <c r="BV3" s="40"/>
      <c r="BW3" s="40"/>
      <c r="AMI3"/>
      <c r="AMJ3"/>
    </row>
    <row r="4" spans="1:1024" s="13" customFormat="1" ht="28.5" customHeight="1" x14ac:dyDescent="0.25">
      <c r="A4" s="42" t="s">
        <v>12</v>
      </c>
      <c r="B4" s="7">
        <f>C31</f>
        <v>36.019647063310003</v>
      </c>
      <c r="C4" s="14">
        <f>SQRT((($C$6^2*COS(RADIANS($B$3)))^2+($C$8^2*SIN(RADIANS($B$3)))^2)/(($C$6*COS(RADIANS($B$3)))^2+($C$8*SIN(RADIANS($B$3)))^2))</f>
        <v>6365628.6512406738</v>
      </c>
      <c r="D4" s="9">
        <f>D3+$B$13</f>
        <v>100</v>
      </c>
      <c r="E4" s="10">
        <f t="shared" si="0"/>
        <v>4.5152364098573088</v>
      </c>
      <c r="F4" s="10">
        <f>$B$5*E4</f>
        <v>81.274255377431558</v>
      </c>
      <c r="G4" s="10">
        <f>F4-$H4</f>
        <v>10.919950427310226</v>
      </c>
      <c r="H4" s="11">
        <f>(1.85/$C$10)*LOG10(1+$C$10*$B$5*($E4+($B$14/1000)*AND($E4,$E4)))</f>
        <v>70.354304950121332</v>
      </c>
      <c r="I4" s="12">
        <f>90-DEGREES(ACOS(COS(RADIANS(90-$B$3))*COS($H4/$C$4)+SIN(RADIANS(90-$B$3))*SIN($H4/$C$4)*COS(RADIANS(180 - $B$9))))</f>
        <v>49.976743054495238</v>
      </c>
      <c r="J4" s="12">
        <f>$B$4-DEGREES(ASIN(SIN($H4/$C$4)*SIN(RADIANS(180 - $B$9))/SIN(ACOS(COS(RADIANS(90-$B$3))*COS($H4/$C$4)+SIN(RADIANS(90-$B$3))*SIN($H4/$C$4)*COS(RADIANS(180 - $B$9))))))</f>
        <v>36.019983843235217</v>
      </c>
      <c r="K4" s="46">
        <f>2*$C$4*ASIN(SQRT(SIN(RADIANS(I4-$B$3)/2)^2+COS(RADIANS($B$3))*COS(RADIANS(I4))*SIN(RADIANS(J4-$B$4)/2)^2))</f>
        <v>70.354304949157438</v>
      </c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AMI4"/>
      <c r="AMJ4"/>
    </row>
    <row r="5" spans="1:1024" s="13" customFormat="1" ht="28.5" customHeight="1" x14ac:dyDescent="0.25">
      <c r="A5" s="42" t="s">
        <v>13</v>
      </c>
      <c r="B5" s="15">
        <f>A33</f>
        <v>18</v>
      </c>
      <c r="C5" s="3" t="s">
        <v>14</v>
      </c>
      <c r="D5" s="9">
        <f>D4+$B$13</f>
        <v>200</v>
      </c>
      <c r="E5" s="10">
        <f t="shared" si="0"/>
        <v>6.3855085681410086</v>
      </c>
      <c r="F5" s="10">
        <f>$B$5*E5</f>
        <v>114.93915422653815</v>
      </c>
      <c r="G5" s="10">
        <f>F5-$H5</f>
        <v>17.54317045930712</v>
      </c>
      <c r="H5" s="11">
        <f>(1.85/$C$10)*LOG10(1+$C$10*$B$5*($E5+($B$14/1000)*AND($E5,$E5)))</f>
        <v>97.39598376723103</v>
      </c>
      <c r="I5" s="12">
        <f>90-DEGREES(ACOS(COS(RADIANS(90-$B$3))*COS($H5/$C$4)+SIN(RADIANS(90-$B$3))*SIN($H5/$C$4)*COS(RADIANS(180 - $B$9))))</f>
        <v>49.976971772287918</v>
      </c>
      <c r="J5" s="12">
        <f>$B$4-DEGREES(ASIN(SIN($H5/$C$4)*SIN(RADIANS(180 - $B$9))/SIN(ACOS(COS(RADIANS(90-$B$3))*COS($H5/$C$4)+SIN(RADIANS(90-$B$3))*SIN($H5/$C$4)*COS(RADIANS(180 - $B$9))))))</f>
        <v>36.020113291610741</v>
      </c>
      <c r="K5" s="46">
        <f>2*$C$4*ASIN(SQRT(SIN(RADIANS(I5-$B$3)/2)^2+COS(RADIANS($B$3))*COS(RADIANS(I5))*SIN(RADIANS(J5-$B$4)/2)^2))</f>
        <v>97.395983767451199</v>
      </c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AMI5"/>
      <c r="AMJ5"/>
    </row>
    <row r="6" spans="1:1024" s="13" customFormat="1" ht="28.5" customHeight="1" x14ac:dyDescent="0.25">
      <c r="A6" s="43" t="s">
        <v>15</v>
      </c>
      <c r="B6" s="16">
        <v>3</v>
      </c>
      <c r="C6" s="14">
        <v>6378137</v>
      </c>
      <c r="D6" s="9">
        <f>D5+$B$13</f>
        <v>300</v>
      </c>
      <c r="E6" s="10">
        <f t="shared" si="0"/>
        <v>7.8206188700577508</v>
      </c>
      <c r="F6" s="10">
        <f>$B$5*E6</f>
        <v>140.77113966103951</v>
      </c>
      <c r="G6" s="10">
        <f>F6-$H6</f>
        <v>22.626702998259347</v>
      </c>
      <c r="H6" s="11">
        <f>(1.85/$C$10)*LOG10(1+$C$10*$B$5*($E6+($B$14/1000)*AND($E6,$E6)))</f>
        <v>118.14443666278017</v>
      </c>
      <c r="I6" s="12">
        <f>90-DEGREES(ACOS(COS(RADIANS(90-$B$3))*COS($H6/$C$4)+SIN(RADIANS(90-$B$3))*SIN($H6/$C$4)*COS(RADIANS(180 - $B$9))))</f>
        <v>49.977147262047225</v>
      </c>
      <c r="J6" s="12">
        <f>$B$4-DEGREES(ASIN(SIN($H6/$C$4)*SIN(RADIANS(180 - $B$9))/SIN(ACOS(COS(RADIANS(90-$B$3))*COS($H6/$C$4)+SIN(RADIANS(90-$B$3))*SIN($H6/$C$4)*COS(RADIANS(180 - $B$9))))))</f>
        <v>36.020212615180967</v>
      </c>
      <c r="K6" s="46">
        <f>2*$C$4*ASIN(SQRT(SIN(RADIANS(I6-$B$3)/2)^2+COS(RADIANS($B$3))*COS(RADIANS(I6))*SIN(RADIANS(J6-$B$4)/2)^2))</f>
        <v>118.14443666300915</v>
      </c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AMI6"/>
      <c r="AMJ6"/>
    </row>
    <row r="7" spans="1:1024" s="13" customFormat="1" ht="28.5" customHeight="1" x14ac:dyDescent="0.25">
      <c r="A7" s="43" t="s">
        <v>16</v>
      </c>
      <c r="B7" s="17">
        <v>0.05</v>
      </c>
      <c r="C7" s="3" t="s">
        <v>17</v>
      </c>
      <c r="D7" s="9">
        <f>D6+$B$13</f>
        <v>400</v>
      </c>
      <c r="E7" s="10">
        <f t="shared" si="0"/>
        <v>9.0304728197146176</v>
      </c>
      <c r="F7" s="10">
        <f>$B$5*E7</f>
        <v>162.54851075486312</v>
      </c>
      <c r="G7" s="10">
        <f>F7-$H7</f>
        <v>26.91323453483156</v>
      </c>
      <c r="H7" s="11">
        <f>(1.85/$C$10)*LOG10(1+$C$10*$B$5*($E7+($B$14/1000)*AND($E7,$E7)))</f>
        <v>135.63527622003156</v>
      </c>
      <c r="I7" s="12">
        <f>90-DEGREES(ACOS(COS(RADIANS(90-$B$3))*COS($H7/$C$4)+SIN(RADIANS(90-$B$3))*SIN($H7/$C$4)*COS(RADIANS(180 - $B$9))))</f>
        <v>49.977295198949925</v>
      </c>
      <c r="J7" s="12">
        <f>$B$4-DEGREES(ASIN(SIN($H7/$C$4)*SIN(RADIANS(180 - $B$9))/SIN(ACOS(COS(RADIANS(90-$B$3))*COS($H7/$C$4)+SIN(RADIANS(90-$B$3))*SIN($H7/$C$4)*COS(RADIANS(180 - $B$9))))))</f>
        <v>36.020296345004937</v>
      </c>
      <c r="K7" s="46">
        <f>2*$C$4*ASIN(SQRT(SIN(RADIANS(I7-$B$3)/2)^2+COS(RADIANS($B$3))*COS(RADIANS(I7))*SIN(RADIANS(J7-$B$4)/2)^2))</f>
        <v>135.63527621965923</v>
      </c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AMI7"/>
      <c r="AMJ7"/>
    </row>
    <row r="8" spans="1:1024" s="13" customFormat="1" ht="28.5" customHeight="1" x14ac:dyDescent="0.25">
      <c r="A8" s="43" t="s">
        <v>18</v>
      </c>
      <c r="B8" s="17">
        <v>0.24</v>
      </c>
      <c r="C8" s="14">
        <v>6356732.3141999999</v>
      </c>
      <c r="D8" s="9">
        <f>D7+$B$13</f>
        <v>500</v>
      </c>
      <c r="E8" s="10">
        <f t="shared" si="0"/>
        <v>10.096375546923044</v>
      </c>
      <c r="F8" s="10">
        <f>$B$5*E8</f>
        <v>181.73475984461479</v>
      </c>
      <c r="G8" s="10">
        <f>F8-$H8</f>
        <v>30.690438441977307</v>
      </c>
      <c r="H8" s="11">
        <f>(1.85/$C$10)*LOG10(1+$C$10*$B$5*($E8+($B$14/1000)*AND($E8,$E8)))</f>
        <v>151.04432140263748</v>
      </c>
      <c r="I8" s="12">
        <f>90-DEGREES(ACOS(COS(RADIANS(90-$B$3))*COS($H8/$C$4)+SIN(RADIANS(90-$B$3))*SIN($H8/$C$4)*COS(RADIANS(180 - $B$9))))</f>
        <v>49.97742552805947</v>
      </c>
      <c r="J8" s="12">
        <f>$B$4-DEGREES(ASIN(SIN($H8/$C$4)*SIN(RADIANS(180 - $B$9))/SIN(ACOS(COS(RADIANS(90-$B$3))*COS($H8/$C$4)+SIN(RADIANS(90-$B$3))*SIN($H8/$C$4)*COS(RADIANS(180 - $B$9))))))</f>
        <v>36.020370109565988</v>
      </c>
      <c r="K8" s="46">
        <f>2*$C$4*ASIN(SQRT(SIN(RADIANS(I8-$B$3)/2)^2+COS(RADIANS($B$3))*COS(RADIANS(I8))*SIN(RADIANS(J8-$B$4)/2)^2))</f>
        <v>151.04432140245154</v>
      </c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AMI8"/>
      <c r="AMJ8"/>
    </row>
    <row r="9" spans="1:1024" s="13" customFormat="1" ht="28.5" customHeight="1" x14ac:dyDescent="0.25">
      <c r="A9" s="42" t="s">
        <v>19</v>
      </c>
      <c r="B9" s="18">
        <f>C29</f>
        <v>200</v>
      </c>
      <c r="C9" s="3" t="s">
        <v>20</v>
      </c>
      <c r="D9" s="9">
        <f>D8+$B$13</f>
        <v>600</v>
      </c>
      <c r="E9" s="10">
        <f t="shared" si="0"/>
        <v>11.060025272186621</v>
      </c>
      <c r="F9" s="10">
        <f>$B$5*E9</f>
        <v>199.08045489935918</v>
      </c>
      <c r="G9" s="10">
        <f>F9-$H9</f>
        <v>34.105851146052942</v>
      </c>
      <c r="H9" s="11">
        <f>(1.85/$C$10)*LOG10(1+$C$10*$B$5*($E9+($B$14/1000)*AND($E9,$E9)))</f>
        <v>164.97460375330624</v>
      </c>
      <c r="I9" s="12">
        <f>90-DEGREES(ACOS(COS(RADIANS(90-$B$3))*COS($H9/$C$4)+SIN(RADIANS(90-$B$3))*SIN($H9/$C$4)*COS(RADIANS(180 - $B$9))))</f>
        <v>49.9775433498098</v>
      </c>
      <c r="J9" s="12">
        <f>$B$4-DEGREES(ASIN(SIN($H9/$C$4)*SIN(RADIANS(180 - $B$9))/SIN(ACOS(COS(RADIANS(90-$B$3))*COS($H9/$C$4)+SIN(RADIANS(90-$B$3))*SIN($H9/$C$4)*COS(RADIANS(180 - $B$9))))))</f>
        <v>36.020436795493005</v>
      </c>
      <c r="K9" s="46">
        <f>2*$C$4*ASIN(SQRT(SIN(RADIANS(I9-$B$3)/2)^2+COS(RADIANS($B$3))*COS(RADIANS(I9))*SIN(RADIANS(J9-$B$4)/2)^2))</f>
        <v>164.97460375379148</v>
      </c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AMI9"/>
      <c r="AMJ9"/>
    </row>
    <row r="10" spans="1:1024" s="13" customFormat="1" ht="28.5" customHeight="1" x14ac:dyDescent="0.25">
      <c r="A10" s="42" t="s">
        <v>21</v>
      </c>
      <c r="B10" s="18">
        <f>B33</f>
        <v>10</v>
      </c>
      <c r="C10" s="20">
        <f>(0.014*PI()*($B$7/2)^2*1.206*$B$8*9.81)/(1.206*$B$6*9.81)</f>
        <v>2.199114857512855E-6</v>
      </c>
      <c r="D10" s="9">
        <f>D9+$B$13</f>
        <v>700</v>
      </c>
      <c r="E10" s="10">
        <f t="shared" si="0"/>
        <v>11.94619265114655</v>
      </c>
      <c r="F10" s="10">
        <f>$B$5*E10</f>
        <v>215.03146772063789</v>
      </c>
      <c r="G10" s="10">
        <f>F10-$H10</f>
        <v>37.247116055504961</v>
      </c>
      <c r="H10" s="11">
        <f>(1.85/$C$10)*LOG10(1+$C$10*$B$5*($E10+($B$14/1000)*AND($E10,$E10)))</f>
        <v>177.78435166513293</v>
      </c>
      <c r="I10" s="12">
        <f>90-DEGREES(ACOS(COS(RADIANS(90-$B$3))*COS($H10/$C$4)+SIN(RADIANS(90-$B$3))*SIN($H10/$C$4)*COS(RADIANS(180 - $B$9))))</f>
        <v>49.977651694092579</v>
      </c>
      <c r="J10" s="12">
        <f>$B$4-DEGREES(ASIN(SIN($H10/$C$4)*SIN(RADIANS(180 - $B$9))/SIN(ACOS(COS(RADIANS(90-$B$3))*COS($H10/$C$4)+SIN(RADIANS(90-$B$3))*SIN($H10/$C$4)*COS(RADIANS(180 - $B$9))))))</f>
        <v>36.020498117575947</v>
      </c>
      <c r="K10" s="46">
        <f>2*$C$4*ASIN(SQRT(SIN(RADIANS(I10-$B$3)/2)^2+COS(RADIANS($B$3))*COS(RADIANS(I10))*SIN(RADIANS(J10-$B$4)/2)^2))</f>
        <v>177.78435166541556</v>
      </c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AMI10"/>
      <c r="AMJ10"/>
    </row>
    <row r="11" spans="1:1024" s="13" customFormat="1" ht="28.5" customHeight="1" x14ac:dyDescent="0.25">
      <c r="A11" s="42" t="s">
        <v>22</v>
      </c>
      <c r="B11" s="19">
        <v>0</v>
      </c>
      <c r="C11" s="3"/>
      <c r="D11" s="9">
        <f>D10+$B$13</f>
        <v>800</v>
      </c>
      <c r="E11" s="10">
        <f t="shared" si="0"/>
        <v>12.771017136282017</v>
      </c>
      <c r="F11" s="10">
        <f>$B$5*E11</f>
        <v>229.8783084530763</v>
      </c>
      <c r="G11" s="10">
        <f>F11-$H11</f>
        <v>40.171337702023521</v>
      </c>
      <c r="H11" s="11">
        <f>(1.85/$C$10)*LOG10(1+$C$10*$B$5*($E11+($B$14/1000)*AND($E11,$E11)))</f>
        <v>189.70697075105278</v>
      </c>
      <c r="I11" s="12">
        <f>90-DEGREES(ACOS(COS(RADIANS(90-$B$3))*COS($H11/$C$4)+SIN(RADIANS(90-$B$3))*SIN($H11/$C$4)*COS(RADIANS(180 - $B$9))))</f>
        <v>49.977752535049852</v>
      </c>
      <c r="J11" s="12">
        <f>$B$4-DEGREES(ASIN(SIN($H11/$C$4)*SIN(RADIANS(180 - $B$9))/SIN(ACOS(COS(RADIANS(90-$B$3))*COS($H11/$C$4)+SIN(RADIANS(90-$B$3))*SIN($H11/$C$4)*COS(RADIANS(180 - $B$9))))))</f>
        <v>36.020555193095312</v>
      </c>
      <c r="K11" s="46">
        <f>2*$C$4*ASIN(SQRT(SIN(RADIANS(I11-$B$3)/2)^2+COS(RADIANS($B$3))*COS(RADIANS(I11))*SIN(RADIANS(J11-$B$4)/2)^2))</f>
        <v>189.70697075225857</v>
      </c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AMI11"/>
      <c r="AMJ11"/>
    </row>
    <row r="12" spans="1:1024" s="13" customFormat="1" ht="28.5" customHeight="1" x14ac:dyDescent="0.25">
      <c r="A12" s="42" t="s">
        <v>23</v>
      </c>
      <c r="B12" s="19">
        <v>0</v>
      </c>
      <c r="C12" s="3"/>
      <c r="D12" s="9">
        <f>D11+$B$13</f>
        <v>900</v>
      </c>
      <c r="E12" s="10">
        <f t="shared" si="0"/>
        <v>13.545709229571926</v>
      </c>
      <c r="F12" s="10">
        <f>$B$5*E12</f>
        <v>243.82276613229467</v>
      </c>
      <c r="G12" s="10">
        <f>F12-$H12</f>
        <v>42.918181030529524</v>
      </c>
      <c r="H12" s="11">
        <f>(1.85/$C$10)*LOG10(1+$C$10*$B$5*($E12+($B$14/1000)*AND($E12,$E12)))</f>
        <v>200.90458510176515</v>
      </c>
      <c r="I12" s="12">
        <f>90-DEGREES(ACOS(COS(RADIANS(90-$B$3))*COS($H12/$C$4)+SIN(RADIANS(90-$B$3))*SIN($H12/$C$4)*COS(RADIANS(180 - $B$9))))</f>
        <v>49.977847243925311</v>
      </c>
      <c r="J12" s="12">
        <f>$B$4-DEGREES(ASIN(SIN($H12/$C$4)*SIN(RADIANS(180 - $B$9))/SIN(ACOS(COS(RADIANS(90-$B$3))*COS($H12/$C$4)+SIN(RADIANS(90-$B$3))*SIN($H12/$C$4)*COS(RADIANS(180 - $B$9))))))</f>
        <v>36.020608798116804</v>
      </c>
      <c r="K12" s="46">
        <f>2*$C$4*ASIN(SQRT(SIN(RADIANS(I12-$B$3)/2)^2+COS(RADIANS($B$3))*COS(RADIANS(I12))*SIN(RADIANS(J12-$B$4)/2)^2))</f>
        <v>200.90458510275431</v>
      </c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AMI12"/>
      <c r="AMJ12"/>
    </row>
    <row r="13" spans="1:1024" s="13" customFormat="1" ht="28.5" customHeight="1" x14ac:dyDescent="0.25">
      <c r="A13" s="43" t="s">
        <v>24</v>
      </c>
      <c r="B13" s="2">
        <v>100</v>
      </c>
      <c r="C13" s="3"/>
      <c r="D13" s="9">
        <f>D12+$B$13</f>
        <v>1000</v>
      </c>
      <c r="E13" s="10">
        <f t="shared" si="0"/>
        <v>14.278431229270645</v>
      </c>
      <c r="F13" s="10">
        <f>$B$5*E13</f>
        <v>257.01176212687159</v>
      </c>
      <c r="G13" s="10">
        <f>F13-$H13</f>
        <v>45.516525847246413</v>
      </c>
      <c r="H13" s="11">
        <f>(1.85/$C$10)*LOG10(1+$C$10*$B$5*($E13+($B$14/1000)*AND($E13,$E13)))</f>
        <v>211.49523627962517</v>
      </c>
      <c r="I13" s="12">
        <f>90-DEGREES(ACOS(COS(RADIANS(90-$B$3))*COS($H13/$C$4)+SIN(RADIANS(90-$B$3))*SIN($H13/$C$4)*COS(RADIANS(180 - $B$9))))</f>
        <v>49.977936819113161</v>
      </c>
      <c r="J13" s="12">
        <f>$B$4-DEGREES(ASIN(SIN($H13/$C$4)*SIN(RADIANS(180 - $B$9))/SIN(ACOS(COS(RADIANS(90-$B$3))*COS($H13/$C$4)+SIN(RADIANS(90-$B$3))*SIN($H13/$C$4)*COS(RADIANS(180 - $B$9))))))</f>
        <v>36.020659497689103</v>
      </c>
      <c r="K13" s="46">
        <f>2*$C$4*ASIN(SQRT(SIN(RADIANS(I13-$B$3)/2)^2+COS(RADIANS($B$3))*COS(RADIANS(I13))*SIN(RADIANS(J13-$B$4)/2)^2))</f>
        <v>211.49523628023221</v>
      </c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AMI13"/>
      <c r="AMJ13"/>
    </row>
    <row r="14" spans="1:1024" s="13" customFormat="1" ht="27" customHeight="1" x14ac:dyDescent="0.25">
      <c r="A14" s="44" t="s">
        <v>25</v>
      </c>
      <c r="B14" s="2">
        <v>350</v>
      </c>
      <c r="C14" s="3"/>
      <c r="D14" s="9">
        <f>D13+$B$13</f>
        <v>1100</v>
      </c>
      <c r="E14" s="10">
        <f t="shared" si="0"/>
        <v>14.975345011248065</v>
      </c>
      <c r="F14" s="10">
        <f>$B$5*E14</f>
        <v>269.55621020246514</v>
      </c>
      <c r="G14" s="10">
        <f>F14-$H14</f>
        <v>47.9881740739321</v>
      </c>
      <c r="H14" s="11">
        <f>(1.85/$C$10)*LOG10(1+$C$10*$B$5*($E14+($B$14/1000)*AND($E14,$E14)))</f>
        <v>221.56803612853304</v>
      </c>
      <c r="I14" s="12">
        <f>90-DEGREES(ACOS(COS(RADIANS(90-$B$3))*COS($H14/$C$4)+SIN(RADIANS(90-$B$3))*SIN($H14/$C$4)*COS(RADIANS(180 - $B$9))))</f>
        <v>49.978022014320374</v>
      </c>
      <c r="J14" s="12">
        <f>$B$4-DEGREES(ASIN(SIN($H14/$C$4)*SIN(RADIANS(180 - $B$9))/SIN(ACOS(COS(RADIANS(90-$B$3))*COS($H14/$C$4)+SIN(RADIANS(90-$B$3))*SIN($H14/$C$4)*COS(RADIANS(180 - $B$9))))))</f>
        <v>36.020707718378333</v>
      </c>
      <c r="K14" s="46">
        <f>2*$C$4*ASIN(SQRT(SIN(RADIANS(I14-$B$3)/2)^2+COS(RADIANS($B$3))*COS(RADIANS(I14))*SIN(RADIANS(J14-$B$4)/2)^2))</f>
        <v>221.5680361294722</v>
      </c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AMI14"/>
      <c r="AMJ14"/>
    </row>
    <row r="15" spans="1:1024" s="13" customFormat="1" ht="27" customHeight="1" x14ac:dyDescent="0.25">
      <c r="A15" s="44"/>
      <c r="B15" s="2"/>
      <c r="C15" s="21"/>
      <c r="D15" s="9">
        <f>D14+$B$13</f>
        <v>1200</v>
      </c>
      <c r="E15" s="10">
        <f t="shared" si="0"/>
        <v>15.641237740115502</v>
      </c>
      <c r="F15" s="10">
        <f>$B$5*E15</f>
        <v>281.54227932207903</v>
      </c>
      <c r="G15" s="10">
        <f>F15-$H15</f>
        <v>50.350063636055296</v>
      </c>
      <c r="H15" s="11">
        <f>(1.85/$C$10)*LOG10(1+$C$10*$B$5*($E15+($B$14/1000)*AND($E15,$E15)))</f>
        <v>231.19221568602373</v>
      </c>
      <c r="I15" s="12">
        <f>90-DEGREES(ACOS(COS(RADIANS(90-$B$3))*COS($H15/$C$4)+SIN(RADIANS(90-$B$3))*SIN($H15/$C$4)*COS(RADIANS(180 - $B$9))))</f>
        <v>49.978103415102261</v>
      </c>
      <c r="J15" s="12">
        <f>$B$4-DEGREES(ASIN(SIN($H15/$C$4)*SIN(RADIANS(180 - $B$9))/SIN(ACOS(COS(RADIANS(90-$B$3))*COS($H15/$C$4)+SIN(RADIANS(90-$B$3))*SIN($H15/$C$4)*COS(RADIANS(180 - $B$9))))))</f>
        <v>36.020753791583935</v>
      </c>
      <c r="K15" s="46">
        <f>2*$C$4*ASIN(SQRT(SIN(RADIANS(I15-$B$3)/2)^2+COS(RADIANS($B$3))*COS(RADIANS(I15))*SIN(RADIANS(J15-$B$4)/2)^2))</f>
        <v>231.19221568636533</v>
      </c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AMI15"/>
      <c r="AMJ15"/>
    </row>
    <row r="16" spans="1:1024" s="13" customFormat="1" ht="27" customHeight="1" x14ac:dyDescent="0.25">
      <c r="A16" s="44"/>
      <c r="B16" s="2"/>
      <c r="C16" s="21"/>
      <c r="D16" s="9">
        <f>D15+$B$13</f>
        <v>1300</v>
      </c>
      <c r="E16" s="10">
        <f t="shared" si="0"/>
        <v>16.279916396582465</v>
      </c>
      <c r="F16" s="10">
        <f>$B$5*E16</f>
        <v>293.03849513848434</v>
      </c>
      <c r="G16" s="10">
        <f>F16-$H16</f>
        <v>52.615664376956857</v>
      </c>
      <c r="H16" s="11">
        <f>(1.85/$C$10)*LOG10(1+$C$10*$B$5*($E16+($B$14/1000)*AND($E16,$E16)))</f>
        <v>240.42283076152748</v>
      </c>
      <c r="I16" s="12">
        <f>90-DEGREES(ACOS(COS(RADIANS(90-$B$3))*COS($H16/$C$4)+SIN(RADIANS(90-$B$3))*SIN($H16/$C$4)*COS(RADIANS(180 - $B$9))))</f>
        <v>49.978181487120246</v>
      </c>
      <c r="J16" s="12">
        <f>$B$4-DEGREES(ASIN(SIN($H16/$C$4)*SIN(RADIANS(180 - $B$9))/SIN(ACOS(COS(RADIANS(90-$B$3))*COS($H16/$C$4)+SIN(RADIANS(90-$B$3))*SIN($H16/$C$4)*COS(RADIANS(180 - $B$9))))))</f>
        <v>36.020797980850489</v>
      </c>
      <c r="K16" s="46">
        <f>2*$C$4*ASIN(SQRT(SIN(RADIANS(I16-$B$3)/2)^2+COS(RADIANS($B$3))*COS(RADIANS(I16))*SIN(RADIANS(J16-$B$4)/2)^2))</f>
        <v>240.42283076162846</v>
      </c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AMI16"/>
      <c r="AMJ16"/>
    </row>
    <row r="17" spans="1:1024" s="13" customFormat="1" ht="27" customHeight="1" x14ac:dyDescent="0.25">
      <c r="A17" s="44"/>
      <c r="B17" s="2"/>
      <c r="C17" s="21"/>
      <c r="D17" s="9">
        <f>D16+$B$13</f>
        <v>1400</v>
      </c>
      <c r="E17" s="10">
        <f t="shared" si="0"/>
        <v>16.894467665973252</v>
      </c>
      <c r="F17" s="10">
        <f>$B$5*E17</f>
        <v>304.10041798751854</v>
      </c>
      <c r="G17" s="10">
        <f>F17-$H17</f>
        <v>54.795897594511075</v>
      </c>
      <c r="H17" s="11">
        <f>(1.85/$C$10)*LOG10(1+$C$10*$B$5*($E17+($B$14/1000)*AND($E17,$E17)))</f>
        <v>249.30452039300746</v>
      </c>
      <c r="I17" s="12">
        <f>90-DEGREES(ACOS(COS(RADIANS(90-$B$3))*COS($H17/$C$4)+SIN(RADIANS(90-$B$3))*SIN($H17/$C$4)*COS(RADIANS(180 - $B$9))))</f>
        <v>49.978256607930803</v>
      </c>
      <c r="J17" s="12">
        <f>$B$4-DEGREES(ASIN(SIN($H17/$C$4)*SIN(RADIANS(180 - $B$9))/SIN(ACOS(COS(RADIANS(90-$B$3))*COS($H17/$C$4)+SIN(RADIANS(90-$B$3))*SIN($H17/$C$4)*COS(RADIANS(180 - $B$9))))))</f>
        <v>36.02084049985892</v>
      </c>
      <c r="K17" s="46">
        <f>2*$C$4*ASIN(SQRT(SIN(RADIANS(I17-$B$3)/2)^2+COS(RADIANS($B$3))*COS(RADIANS(I17))*SIN(RADIANS(J17-$B$4)/2)^2))</f>
        <v>249.30452039316557</v>
      </c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AMI17"/>
      <c r="AMJ17"/>
    </row>
    <row r="18" spans="1:1024" s="13" customFormat="1" ht="27" customHeight="1" x14ac:dyDescent="0.25">
      <c r="A18" s="44"/>
      <c r="B18" s="2"/>
      <c r="C18" s="21"/>
      <c r="D18" s="9">
        <f>D17+$B$13</f>
        <v>1500</v>
      </c>
      <c r="E18" s="10">
        <f t="shared" si="0"/>
        <v>17.487435419566722</v>
      </c>
      <c r="F18" s="10">
        <f>$B$5*E18</f>
        <v>314.77383755220103</v>
      </c>
      <c r="G18" s="10">
        <f>F18-$H18</f>
        <v>56.899764004287306</v>
      </c>
      <c r="H18" s="11">
        <f>(1.85/$C$10)*LOG10(1+$C$10*$B$5*($E18+($B$14/1000)*AND($E18,$E18)))</f>
        <v>257.87407354791372</v>
      </c>
      <c r="I18" s="12">
        <f>90-DEGREES(ACOS(COS(RADIANS(90-$B$3))*COS($H18/$C$4)+SIN(RADIANS(90-$B$3))*SIN($H18/$C$4)*COS(RADIANS(180 - $B$9))))</f>
        <v>49.978329088694601</v>
      </c>
      <c r="J18" s="12">
        <f>$B$4-DEGREES(ASIN(SIN($H18/$C$4)*SIN(RADIANS(180 - $B$9))/SIN(ACOS(COS(RADIANS(90-$B$3))*COS($H18/$C$4)+SIN(RADIANS(90-$B$3))*SIN($H18/$C$4)*COS(RADIANS(180 - $B$9))))))</f>
        <v>36.020881524712941</v>
      </c>
      <c r="K18" s="46">
        <f>2*$C$4*ASIN(SQRT(SIN(RADIANS(I18-$B$3)/2)^2+COS(RADIANS($B$3))*COS(RADIANS(I18))*SIN(RADIANS(J18-$B$4)/2)^2))</f>
        <v>257.87407354822983</v>
      </c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AMI18"/>
      <c r="AMJ18"/>
    </row>
    <row r="19" spans="1:1024" s="13" customFormat="1" ht="27" customHeight="1" x14ac:dyDescent="0.25">
      <c r="A19" s="44"/>
      <c r="B19" s="2"/>
      <c r="C19" s="21"/>
      <c r="D19" s="9">
        <f>D18+$B$13</f>
        <v>1600</v>
      </c>
      <c r="E19" s="10">
        <f t="shared" si="0"/>
        <v>18.060945639429235</v>
      </c>
      <c r="F19" s="10">
        <f>$B$5*E19</f>
        <v>325.09702150972623</v>
      </c>
      <c r="G19" s="10">
        <f>F19-$H19</f>
        <v>58.934785748359786</v>
      </c>
      <c r="H19" s="11">
        <f>(1.85/$C$10)*LOG10(1+$C$10*$B$5*($E19+($B$14/1000)*AND($E19,$E19)))</f>
        <v>266.16223576136645</v>
      </c>
      <c r="I19" s="12">
        <f>90-DEGREES(ACOS(COS(RADIANS(90-$B$3))*COS($H19/$C$4)+SIN(RADIANS(90-$B$3))*SIN($H19/$C$4)*COS(RADIANS(180 - $B$9))))</f>
        <v>49.978399189457015</v>
      </c>
      <c r="J19" s="12">
        <f>$B$4-DEGREES(ASIN(SIN($H19/$C$4)*SIN(RADIANS(180 - $B$9))/SIN(ACOS(COS(RADIANS(90-$B$3))*COS($H19/$C$4)+SIN(RADIANS(90-$B$3))*SIN($H19/$C$4)*COS(RADIANS(180 - $B$9))))))</f>
        <v>36.020921202587203</v>
      </c>
      <c r="K19" s="46">
        <f>2*$C$4*ASIN(SQRT(SIN(RADIANS(I19-$B$3)/2)^2+COS(RADIANS($B$3))*COS(RADIANS(I19))*SIN(RADIANS(J19-$B$4)/2)^2))</f>
        <v>266.16223576104102</v>
      </c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AMI19"/>
      <c r="AMJ19"/>
    </row>
    <row r="20" spans="1:1024" s="13" customFormat="1" ht="27" customHeight="1" x14ac:dyDescent="0.25">
      <c r="A20" s="44"/>
      <c r="B20" s="2"/>
      <c r="C20" s="21"/>
      <c r="D20" s="9">
        <f>D19+$B$13</f>
        <v>1700</v>
      </c>
      <c r="E20" s="10">
        <f t="shared" si="0"/>
        <v>18.616796642476359</v>
      </c>
      <c r="F20" s="10">
        <f>$B$5*E20</f>
        <v>335.10233956457444</v>
      </c>
      <c r="G20" s="10">
        <f>F20-$H20</f>
        <v>60.907325625141596</v>
      </c>
      <c r="H20" s="11">
        <f>(1.85/$C$10)*LOG10(1+$C$10*$B$5*($E20+($B$14/1000)*AND($E20,$E20)))</f>
        <v>274.19501393943284</v>
      </c>
      <c r="I20" s="12">
        <f>90-DEGREES(ACOS(COS(RADIANS(90-$B$3))*COS($H20/$C$4)+SIN(RADIANS(90-$B$3))*SIN($H20/$C$4)*COS(RADIANS(180 - $B$9))))</f>
        <v>49.978467130184178</v>
      </c>
      <c r="J20" s="12">
        <f>$B$4-DEGREES(ASIN(SIN($H20/$C$4)*SIN(RADIANS(180 - $B$9))/SIN(ACOS(COS(RADIANS(90-$B$3))*COS($H20/$C$4)+SIN(RADIANS(90-$B$3))*SIN($H20/$C$4)*COS(RADIANS(180 - $B$9))))))</f>
        <v>36.020959657973179</v>
      </c>
      <c r="K20" s="46">
        <f>2*$C$4*ASIN(SQRT(SIN(RADIANS(I20-$B$3)/2)^2+COS(RADIANS($B$3))*COS(RADIANS(I20))*SIN(RADIANS(J20-$B$4)/2)^2))</f>
        <v>274.19501393923457</v>
      </c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AMI20"/>
      <c r="AMJ20"/>
    </row>
    <row r="21" spans="1:1024" s="13" customFormat="1" ht="27" customHeight="1" x14ac:dyDescent="0.25">
      <c r="A21" s="44"/>
      <c r="B21" s="2"/>
      <c r="C21" s="21"/>
      <c r="D21" s="9">
        <f>D20+$B$13</f>
        <v>1800</v>
      </c>
      <c r="E21" s="10">
        <f t="shared" si="0"/>
        <v>19.156525704423029</v>
      </c>
      <c r="F21" s="10">
        <f>$B$5*E21</f>
        <v>344.81746267961449</v>
      </c>
      <c r="G21" s="10">
        <f>F21-$H21</f>
        <v>62.822822818594204</v>
      </c>
      <c r="H21" s="11">
        <f>(1.85/$C$10)*LOG10(1+$C$10*$B$5*($E21+($B$14/1000)*AND($E21,$E21)))</f>
        <v>281.99463986102029</v>
      </c>
      <c r="I21" s="12">
        <f>90-DEGREES(ACOS(COS(RADIANS(90-$B$3))*COS($H21/$C$4)+SIN(RADIANS(90-$B$3))*SIN($H21/$C$4)*COS(RADIANS(180 - $B$9))))</f>
        <v>49.978533098912216</v>
      </c>
      <c r="J21" s="12">
        <f>$B$4-DEGREES(ASIN(SIN($H21/$C$4)*SIN(RADIANS(180 - $B$9))/SIN(ACOS(COS(RADIANS(90-$B$3))*COS($H21/$C$4)+SIN(RADIANS(90-$B$3))*SIN($H21/$C$4)*COS(RADIANS(180 - $B$9))))))</f>
        <v>36.020996997291341</v>
      </c>
      <c r="K21" s="46">
        <f>2*$C$4*ASIN(SQRT(SIN(RADIANS(I21-$B$3)/2)^2+COS(RADIANS($B$3))*COS(RADIANS(I21))*SIN(RADIANS(J21-$B$4)/2)^2))</f>
        <v>281.99463986109294</v>
      </c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AMI21"/>
      <c r="AMJ21"/>
    </row>
    <row r="22" spans="1:1024" s="13" customFormat="1" ht="27" customHeight="1" x14ac:dyDescent="0.25">
      <c r="A22" s="44"/>
      <c r="B22" s="2"/>
      <c r="C22" s="21"/>
      <c r="D22" s="9">
        <f>D21+$B$13</f>
        <v>1900</v>
      </c>
      <c r="E22" s="10">
        <f t="shared" si="0"/>
        <v>19.681459216763407</v>
      </c>
      <c r="F22" s="10">
        <f>$B$5*E22</f>
        <v>354.26626590174135</v>
      </c>
      <c r="G22" s="10">
        <f>F22-$H22</f>
        <v>64.685970362723026</v>
      </c>
      <c r="H22" s="11">
        <f>(1.85/$C$10)*LOG10(1+$C$10*$B$5*($E22+($B$14/1000)*AND($E22,$E22)))</f>
        <v>289.58029553901832</v>
      </c>
      <c r="I22" s="12">
        <f>90-DEGREES(ACOS(COS(RADIANS(90-$B$3))*COS($H22/$C$4)+SIN(RADIANS(90-$B$3))*SIN($H22/$C$4)*COS(RADIANS(180 - $B$9))))</f>
        <v>49.978597257882384</v>
      </c>
      <c r="J22" s="12">
        <f>$B$4-DEGREES(ASIN(SIN($H22/$C$4)*SIN(RADIANS(180 - $B$9))/SIN(ACOS(COS(RADIANS(90-$B$3))*COS($H22/$C$4)+SIN(RADIANS(90-$B$3))*SIN($H22/$C$4)*COS(RADIANS(180 - $B$9))))))</f>
        <v>36.021033312363329</v>
      </c>
      <c r="K22" s="46">
        <f>2*$C$4*ASIN(SQRT(SIN(RADIANS(I22-$B$3)/2)^2+COS(RADIANS($B$3))*COS(RADIANS(I22))*SIN(RADIANS(J22-$B$4)/2)^2))</f>
        <v>289.58029554019345</v>
      </c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AMI22"/>
      <c r="AMJ22"/>
    </row>
    <row r="23" spans="1:1024" s="34" customFormat="1" x14ac:dyDescent="0.25">
      <c r="A23" s="53"/>
      <c r="B23" s="54"/>
      <c r="C23" s="55"/>
      <c r="D23" s="56">
        <f>D22+$B$13</f>
        <v>2000</v>
      </c>
      <c r="E23" s="57">
        <f t="shared" si="0"/>
        <v>20.192751093846088</v>
      </c>
      <c r="F23" s="57">
        <f>$B$5*E23</f>
        <v>363.46951968922957</v>
      </c>
      <c r="G23" s="57">
        <f>F23-$H23</f>
        <v>66.500851033851006</v>
      </c>
      <c r="H23" s="58">
        <f>(1.85/$C$10)*LOG10(1+$C$10*$B$5*($E23+($B$14/1000)*AND($E23,$E23)))</f>
        <v>296.96866865537856</v>
      </c>
      <c r="I23" s="59">
        <f>90-DEGREES(ACOS(COS(RADIANS(90-$B$3))*COS($H23/$C$4)+SIN(RADIANS(90-$B$3))*SIN($H23/$C$4)*COS(RADIANS(180 - $B$9))))</f>
        <v>49.978659748238876</v>
      </c>
      <c r="J23" s="59">
        <f>$B$4-DEGREES(ASIN(SIN($H23/$C$4)*SIN(RADIANS(180 - $B$9))/SIN(ACOS(COS(RADIANS(90-$B$3))*COS($H23/$C$4)+SIN(RADIANS(90-$B$3))*SIN($H23/$C$4)*COS(RADIANS(180 - $B$9))))))</f>
        <v>36.021068683070794</v>
      </c>
      <c r="K23" s="60">
        <f>2*$C$4*ASIN(SQRT(SIN(RADIANS(I23-$B$3)/2)^2+COS(RADIANS($B$3))*COS(RADIANS(I23))*SIN(RADIANS(J23-$B$4)/2)^2))</f>
        <v>296.96866865545195</v>
      </c>
    </row>
    <row r="24" spans="1:1024" ht="41.4" customHeight="1" x14ac:dyDescent="0.25">
      <c r="A24" s="33"/>
      <c r="B24" s="34"/>
      <c r="C24" s="33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</row>
    <row r="25" spans="1:1024" ht="69.599999999999994" customHeight="1" thickBot="1" x14ac:dyDescent="0.3">
      <c r="A25" s="35"/>
      <c r="B25" s="34"/>
      <c r="C25" s="35"/>
      <c r="D25" s="34"/>
      <c r="E25" s="36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</row>
    <row r="26" spans="1:1024" ht="35.4" customHeight="1" thickTop="1" thickBot="1" x14ac:dyDescent="0.3">
      <c r="A26" s="62" t="s">
        <v>57</v>
      </c>
      <c r="B26" s="63"/>
      <c r="C26" s="62" t="s">
        <v>58</v>
      </c>
      <c r="D26" s="63"/>
      <c r="E26" s="63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</row>
    <row r="27" spans="1:1024" ht="91.8" customHeight="1" thickTop="1" thickBot="1" x14ac:dyDescent="0.3">
      <c r="A27" s="61">
        <f>I6</f>
        <v>49.977147262047225</v>
      </c>
      <c r="B27" s="64" t="s">
        <v>32</v>
      </c>
      <c r="C27" s="61">
        <f>J6</f>
        <v>36.020212615180967</v>
      </c>
      <c r="D27" s="64" t="s">
        <v>32</v>
      </c>
      <c r="E27" s="65" t="s">
        <v>44</v>
      </c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H27" s="34"/>
      <c r="DI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</row>
    <row r="28" spans="1:1024" thickTop="1" thickBot="1" x14ac:dyDescent="0.3">
      <c r="A28" s="62" t="s">
        <v>34</v>
      </c>
      <c r="B28" s="63"/>
      <c r="C28" s="66" t="s">
        <v>56</v>
      </c>
      <c r="D28" s="63"/>
      <c r="E28" s="63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</row>
    <row r="29" spans="1:1024" ht="66" customHeight="1" thickTop="1" thickBot="1" x14ac:dyDescent="0.3">
      <c r="A29" s="67">
        <f>H6</f>
        <v>118.14443666278017</v>
      </c>
      <c r="B29" s="63"/>
      <c r="C29" s="68">
        <v>200</v>
      </c>
      <c r="D29" s="63"/>
      <c r="E29" s="63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4"/>
      <c r="DE29" s="34"/>
      <c r="DF29" s="34"/>
      <c r="DG29" s="34"/>
      <c r="DH29" s="34"/>
      <c r="DI29" s="34"/>
      <c r="DJ29" s="34"/>
      <c r="DK29" s="34"/>
      <c r="DL29" s="34"/>
      <c r="DM29" s="34"/>
      <c r="DN29" s="34"/>
      <c r="DO29" s="34"/>
      <c r="DP29" s="34"/>
      <c r="DQ29" s="34"/>
      <c r="DR29" s="34"/>
      <c r="DS29" s="34"/>
      <c r="DT29" s="34"/>
      <c r="DU29" s="34"/>
      <c r="DV29" s="34"/>
      <c r="DW29" s="34"/>
      <c r="DX29" s="34"/>
      <c r="DY29" s="34"/>
      <c r="DZ29" s="34"/>
    </row>
    <row r="30" spans="1:1024" ht="25.2" customHeight="1" thickTop="1" thickBot="1" x14ac:dyDescent="0.3">
      <c r="A30" s="62" t="s">
        <v>59</v>
      </c>
      <c r="B30" s="63"/>
      <c r="C30" s="62" t="s">
        <v>60</v>
      </c>
      <c r="D30" s="63"/>
      <c r="E30" s="63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34"/>
      <c r="CX30" s="34"/>
      <c r="CY30" s="34"/>
      <c r="CZ30" s="34"/>
      <c r="DA30" s="34"/>
      <c r="DB30" s="34"/>
      <c r="DC30" s="34"/>
      <c r="DD30" s="34"/>
      <c r="DE30" s="34"/>
      <c r="DF30" s="34"/>
      <c r="DG30" s="34"/>
      <c r="DH30" s="34"/>
      <c r="DI30" s="34"/>
      <c r="DJ30" s="34"/>
      <c r="DK30" s="34"/>
      <c r="DL30" s="34"/>
      <c r="DM30" s="34"/>
      <c r="DN30" s="34"/>
      <c r="DO30" s="34"/>
      <c r="DP30" s="34"/>
      <c r="DQ30" s="34"/>
      <c r="DR30" s="34"/>
      <c r="DS30" s="34"/>
      <c r="DT30" s="34"/>
      <c r="DU30" s="34"/>
      <c r="DV30" s="34"/>
      <c r="DW30" s="34"/>
      <c r="DX30" s="34"/>
      <c r="DY30" s="34"/>
      <c r="DZ30" s="34"/>
    </row>
    <row r="31" spans="1:1024" ht="85.8" customHeight="1" thickTop="1" thickBot="1" x14ac:dyDescent="0.3">
      <c r="A31" s="69">
        <v>49.976147998999998</v>
      </c>
      <c r="B31" s="63"/>
      <c r="C31" s="69">
        <v>36.019647063310003</v>
      </c>
      <c r="D31" s="70" t="s">
        <v>43</v>
      </c>
      <c r="E31" s="71" t="s">
        <v>38</v>
      </c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34"/>
      <c r="CX31" s="34"/>
      <c r="CY31" s="34"/>
      <c r="CZ31" s="34"/>
      <c r="DA31" s="34"/>
      <c r="DB31" s="34"/>
      <c r="DC31" s="34"/>
      <c r="DD31" s="34"/>
      <c r="DE31" s="34"/>
      <c r="DF31" s="34"/>
      <c r="DG31" s="34"/>
      <c r="DH31" s="34"/>
      <c r="DI31" s="34"/>
      <c r="DJ31" s="34"/>
      <c r="DK31" s="34"/>
      <c r="DL31" s="34"/>
      <c r="DM31" s="34"/>
      <c r="DN31" s="34"/>
      <c r="DO31" s="34"/>
      <c r="DP31" s="34"/>
      <c r="DQ31" s="34"/>
      <c r="DR31" s="34"/>
      <c r="DS31" s="34"/>
      <c r="DT31" s="34"/>
      <c r="DU31" s="34"/>
      <c r="DV31" s="34"/>
      <c r="DW31" s="34"/>
      <c r="DX31" s="34"/>
      <c r="DY31" s="34"/>
      <c r="DZ31" s="34"/>
    </row>
    <row r="32" spans="1:1024" thickTop="1" thickBot="1" x14ac:dyDescent="0.3">
      <c r="A32" s="62" t="s">
        <v>39</v>
      </c>
      <c r="B32" s="62" t="s">
        <v>40</v>
      </c>
      <c r="C32" s="62" t="s">
        <v>41</v>
      </c>
      <c r="D32" s="63"/>
      <c r="E32" s="63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/>
      <c r="CY32" s="34"/>
      <c r="CZ32" s="34"/>
      <c r="DA32" s="34"/>
      <c r="DB32" s="34"/>
      <c r="DC32" s="34"/>
      <c r="DD32" s="34"/>
      <c r="DE32" s="34"/>
      <c r="DF32" s="34"/>
      <c r="DG32" s="34"/>
      <c r="DH32" s="34"/>
      <c r="DI32" s="34"/>
      <c r="DJ32" s="34"/>
      <c r="DK32" s="34"/>
      <c r="DL32" s="34"/>
      <c r="DM32" s="34"/>
      <c r="DN32" s="34"/>
      <c r="DO32" s="34"/>
      <c r="DP32" s="34"/>
      <c r="DQ32" s="34"/>
      <c r="DR32" s="34"/>
      <c r="DS32" s="34"/>
      <c r="DT32" s="34"/>
      <c r="DU32" s="34"/>
      <c r="DV32" s="34"/>
      <c r="DW32" s="34"/>
      <c r="DX32" s="34"/>
      <c r="DY32" s="34"/>
      <c r="DZ32" s="34"/>
    </row>
    <row r="33" spans="1:130" ht="75.599999999999994" customHeight="1" thickTop="1" thickBot="1" x14ac:dyDescent="0.3">
      <c r="A33" s="72">
        <v>18</v>
      </c>
      <c r="B33" s="73">
        <v>10</v>
      </c>
      <c r="C33" s="74">
        <f>D6</f>
        <v>300</v>
      </c>
      <c r="D33" s="63"/>
      <c r="E33" s="75" t="s">
        <v>42</v>
      </c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34"/>
      <c r="CX33" s="34"/>
      <c r="CY33" s="34"/>
      <c r="CZ33" s="34"/>
      <c r="DA33" s="34"/>
      <c r="DB33" s="34"/>
      <c r="DC33" s="34"/>
      <c r="DD33" s="34"/>
      <c r="DE33" s="34"/>
      <c r="DF33" s="34"/>
      <c r="DG33" s="34"/>
      <c r="DH33" s="34"/>
      <c r="DI33" s="34"/>
      <c r="DJ33" s="34"/>
      <c r="DK33" s="34"/>
      <c r="DL33" s="34"/>
      <c r="DM33" s="34"/>
      <c r="DN33" s="34"/>
      <c r="DO33" s="34"/>
      <c r="DP33" s="34"/>
      <c r="DQ33" s="34"/>
      <c r="DR33" s="34"/>
      <c r="DS33" s="34"/>
      <c r="DT33" s="34"/>
      <c r="DU33" s="34"/>
      <c r="DV33" s="34"/>
      <c r="DW33" s="34"/>
      <c r="DX33" s="34"/>
      <c r="DY33" s="34"/>
      <c r="DZ33" s="34"/>
    </row>
    <row r="34" spans="1:130" ht="58.2" customHeight="1" thickTop="1" thickBot="1" x14ac:dyDescent="0.3">
      <c r="A34" s="63"/>
      <c r="B34" s="63"/>
      <c r="C34" s="63"/>
      <c r="D34" s="63"/>
      <c r="E34" s="63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34"/>
      <c r="CX34" s="34"/>
      <c r="CY34" s="34"/>
      <c r="CZ34" s="34"/>
      <c r="DA34" s="34"/>
      <c r="DB34" s="34"/>
      <c r="DC34" s="34"/>
      <c r="DD34" s="34"/>
      <c r="DE34" s="34"/>
      <c r="DF34" s="34"/>
      <c r="DG34" s="34"/>
      <c r="DH34" s="34"/>
      <c r="DI34" s="34"/>
      <c r="DJ34" s="34"/>
      <c r="DK34" s="34"/>
      <c r="DL34" s="34"/>
      <c r="DM34" s="34"/>
      <c r="DN34" s="34"/>
      <c r="DO34" s="34"/>
      <c r="DP34" s="34"/>
      <c r="DQ34" s="34"/>
      <c r="DR34" s="34"/>
      <c r="DS34" s="34"/>
      <c r="DT34" s="34"/>
      <c r="DU34" s="34"/>
      <c r="DV34" s="34"/>
      <c r="DW34" s="34"/>
      <c r="DX34" s="34"/>
      <c r="DY34" s="34"/>
      <c r="DZ34" s="34"/>
    </row>
    <row r="35" spans="1:130" ht="15.6" thickTop="1" x14ac:dyDescent="0.25">
      <c r="A35" s="34"/>
      <c r="B35" s="37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  <c r="CO35" s="34"/>
      <c r="CP35" s="34"/>
      <c r="CQ35" s="34"/>
      <c r="CR35" s="34"/>
      <c r="CS35" s="34"/>
      <c r="CT35" s="34"/>
      <c r="CU35" s="34"/>
      <c r="CV35" s="34"/>
      <c r="CW35" s="34"/>
      <c r="CX35" s="34"/>
      <c r="CY35" s="34"/>
      <c r="CZ35" s="34"/>
      <c r="DA35" s="34"/>
      <c r="DB35" s="34"/>
      <c r="DC35" s="34"/>
      <c r="DD35" s="34"/>
      <c r="DE35" s="34"/>
      <c r="DF35" s="34"/>
      <c r="DG35" s="34"/>
      <c r="DH35" s="34"/>
      <c r="DI35" s="34"/>
      <c r="DJ35" s="34"/>
      <c r="DK35" s="34"/>
      <c r="DL35" s="34"/>
      <c r="DM35" s="34"/>
      <c r="DN35" s="34"/>
      <c r="DO35" s="34"/>
      <c r="DP35" s="34"/>
      <c r="DQ35" s="34"/>
      <c r="DR35" s="34"/>
      <c r="DS35" s="34"/>
      <c r="DT35" s="34"/>
      <c r="DU35" s="34"/>
      <c r="DV35" s="34"/>
      <c r="DW35" s="34"/>
      <c r="DX35" s="34"/>
      <c r="DY35" s="34"/>
      <c r="DZ35" s="34"/>
    </row>
    <row r="36" spans="1:130" x14ac:dyDescent="0.25">
      <c r="A36" s="34"/>
      <c r="B36" s="37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4"/>
      <c r="CR36" s="34"/>
      <c r="CS36" s="34"/>
      <c r="CT36" s="34"/>
      <c r="CU36" s="34"/>
      <c r="CV36" s="34"/>
      <c r="CW36" s="34"/>
      <c r="CX36" s="34"/>
      <c r="CY36" s="34"/>
      <c r="CZ36" s="34"/>
      <c r="DA36" s="34"/>
      <c r="DB36" s="34"/>
      <c r="DC36" s="34"/>
      <c r="DD36" s="34"/>
      <c r="DE36" s="34"/>
      <c r="DF36" s="34"/>
      <c r="DG36" s="34"/>
      <c r="DH36" s="34"/>
      <c r="DI36" s="34"/>
      <c r="DJ36" s="34"/>
      <c r="DK36" s="34"/>
      <c r="DL36" s="34"/>
      <c r="DM36" s="34"/>
      <c r="DN36" s="34"/>
      <c r="DO36" s="34"/>
      <c r="DP36" s="34"/>
      <c r="DQ36" s="34"/>
      <c r="DR36" s="34"/>
      <c r="DS36" s="34"/>
      <c r="DT36" s="34"/>
      <c r="DU36" s="34"/>
      <c r="DV36" s="34"/>
      <c r="DW36" s="34"/>
      <c r="DX36" s="34"/>
      <c r="DY36" s="34"/>
      <c r="DZ36" s="34"/>
    </row>
    <row r="37" spans="1:130" x14ac:dyDescent="0.25">
      <c r="A37" s="34"/>
      <c r="B37" s="37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  <c r="CO37" s="34"/>
      <c r="CP37" s="34"/>
      <c r="CQ37" s="34"/>
      <c r="CR37" s="34"/>
      <c r="CS37" s="34"/>
      <c r="CT37" s="34"/>
      <c r="CU37" s="34"/>
      <c r="CV37" s="34"/>
      <c r="CW37" s="34"/>
      <c r="CX37" s="34"/>
      <c r="CY37" s="34"/>
      <c r="CZ37" s="34"/>
      <c r="DA37" s="34"/>
      <c r="DB37" s="34"/>
      <c r="DC37" s="34"/>
      <c r="DD37" s="34"/>
      <c r="DE37" s="34"/>
      <c r="DF37" s="34"/>
      <c r="DG37" s="34"/>
      <c r="DH37" s="34"/>
      <c r="DI37" s="34"/>
      <c r="DJ37" s="34"/>
      <c r="DK37" s="34"/>
      <c r="DL37" s="34"/>
      <c r="DM37" s="34"/>
      <c r="DN37" s="34"/>
      <c r="DO37" s="34"/>
      <c r="DP37" s="34"/>
      <c r="DQ37" s="34"/>
      <c r="DR37" s="34"/>
      <c r="DS37" s="34"/>
      <c r="DT37" s="34"/>
      <c r="DU37" s="34"/>
      <c r="DV37" s="34"/>
      <c r="DW37" s="34"/>
      <c r="DX37" s="34"/>
      <c r="DY37" s="34"/>
      <c r="DZ37" s="34"/>
    </row>
    <row r="38" spans="1:130" x14ac:dyDescent="0.25">
      <c r="A38" s="34"/>
      <c r="B38" s="37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4"/>
      <c r="CR38" s="34"/>
      <c r="CS38" s="34"/>
      <c r="CT38" s="34"/>
      <c r="CU38" s="34"/>
      <c r="CV38" s="34"/>
      <c r="CW38" s="34"/>
      <c r="CX38" s="34"/>
      <c r="CY38" s="34"/>
      <c r="CZ38" s="34"/>
      <c r="DA38" s="34"/>
      <c r="DB38" s="34"/>
      <c r="DC38" s="34"/>
      <c r="DD38" s="34"/>
      <c r="DE38" s="34"/>
      <c r="DF38" s="34"/>
      <c r="DG38" s="34"/>
      <c r="DH38" s="34"/>
      <c r="DI38" s="34"/>
      <c r="DJ38" s="34"/>
      <c r="DK38" s="34"/>
      <c r="DL38" s="34"/>
      <c r="DM38" s="34"/>
      <c r="DN38" s="34"/>
      <c r="DO38" s="34"/>
      <c r="DP38" s="34"/>
      <c r="DQ38" s="34"/>
      <c r="DR38" s="34"/>
      <c r="DS38" s="34"/>
      <c r="DT38" s="34"/>
      <c r="DU38" s="34"/>
      <c r="DV38" s="34"/>
      <c r="DW38" s="34"/>
      <c r="DX38" s="34"/>
      <c r="DY38" s="34"/>
      <c r="DZ38" s="34"/>
    </row>
    <row r="39" spans="1:130" x14ac:dyDescent="0.25">
      <c r="A39" s="34"/>
      <c r="B39" s="37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  <c r="CO39" s="34"/>
      <c r="CP39" s="34"/>
      <c r="CQ39" s="34"/>
      <c r="CR39" s="34"/>
      <c r="CS39" s="34"/>
      <c r="CT39" s="34"/>
      <c r="CU39" s="34"/>
      <c r="CV39" s="34"/>
      <c r="CW39" s="34"/>
      <c r="CX39" s="34"/>
      <c r="CY39" s="34"/>
      <c r="CZ39" s="34"/>
      <c r="DA39" s="34"/>
      <c r="DB39" s="34"/>
      <c r="DC39" s="34"/>
      <c r="DD39" s="34"/>
      <c r="DE39" s="34"/>
      <c r="DF39" s="34"/>
      <c r="DG39" s="34"/>
      <c r="DH39" s="34"/>
      <c r="DI39" s="34"/>
      <c r="DJ39" s="34"/>
      <c r="DK39" s="34"/>
      <c r="DL39" s="34"/>
      <c r="DM39" s="34"/>
      <c r="DN39" s="34"/>
      <c r="DO39" s="34"/>
      <c r="DP39" s="34"/>
      <c r="DQ39" s="34"/>
      <c r="DR39" s="34"/>
      <c r="DS39" s="34"/>
      <c r="DT39" s="34"/>
      <c r="DU39" s="34"/>
      <c r="DV39" s="34"/>
      <c r="DW39" s="34"/>
      <c r="DX39" s="34"/>
      <c r="DY39" s="34"/>
      <c r="DZ39" s="34"/>
    </row>
    <row r="40" spans="1:130" x14ac:dyDescent="0.25">
      <c r="A40" s="34"/>
      <c r="B40" s="37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  <c r="CO40" s="34"/>
      <c r="CP40" s="34"/>
      <c r="CQ40" s="34"/>
      <c r="CR40" s="34"/>
      <c r="CS40" s="34"/>
      <c r="CT40" s="34"/>
      <c r="CU40" s="34"/>
      <c r="CV40" s="34"/>
      <c r="CW40" s="34"/>
      <c r="CX40" s="34"/>
      <c r="CY40" s="34"/>
      <c r="CZ40" s="34"/>
      <c r="DA40" s="34"/>
      <c r="DB40" s="34"/>
      <c r="DC40" s="34"/>
      <c r="DD40" s="34"/>
      <c r="DE40" s="34"/>
      <c r="DF40" s="34"/>
      <c r="DG40" s="34"/>
      <c r="DH40" s="34"/>
      <c r="DI40" s="34"/>
      <c r="DJ40" s="34"/>
      <c r="DK40" s="34"/>
      <c r="DL40" s="34"/>
      <c r="DM40" s="34"/>
      <c r="DN40" s="34"/>
      <c r="DO40" s="34"/>
      <c r="DP40" s="34"/>
      <c r="DQ40" s="34"/>
      <c r="DR40" s="34"/>
      <c r="DS40" s="34"/>
      <c r="DT40" s="34"/>
      <c r="DU40" s="34"/>
      <c r="DV40" s="34"/>
      <c r="DW40" s="34"/>
      <c r="DX40" s="34"/>
      <c r="DY40" s="34"/>
      <c r="DZ40" s="34"/>
    </row>
    <row r="41" spans="1:130" x14ac:dyDescent="0.25">
      <c r="A41" s="34"/>
      <c r="B41" s="37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  <c r="CO41" s="34"/>
      <c r="CP41" s="34"/>
      <c r="CQ41" s="34"/>
      <c r="CR41" s="34"/>
      <c r="CS41" s="34"/>
      <c r="CT41" s="34"/>
      <c r="CU41" s="34"/>
      <c r="CV41" s="34"/>
      <c r="CW41" s="34"/>
      <c r="CX41" s="34"/>
      <c r="CY41" s="34"/>
      <c r="CZ41" s="34"/>
      <c r="DA41" s="34"/>
      <c r="DB41" s="34"/>
      <c r="DC41" s="34"/>
      <c r="DD41" s="34"/>
      <c r="DE41" s="34"/>
      <c r="DF41" s="34"/>
      <c r="DG41" s="34"/>
      <c r="DH41" s="34"/>
      <c r="DI41" s="34"/>
      <c r="DJ41" s="34"/>
      <c r="DK41" s="34"/>
      <c r="DL41" s="34"/>
      <c r="DM41" s="34"/>
      <c r="DN41" s="34"/>
      <c r="DO41" s="34"/>
      <c r="DP41" s="34"/>
      <c r="DQ41" s="34"/>
      <c r="DR41" s="34"/>
      <c r="DS41" s="34"/>
      <c r="DT41" s="34"/>
      <c r="DU41" s="34"/>
      <c r="DV41" s="34"/>
      <c r="DW41" s="34"/>
      <c r="DX41" s="34"/>
      <c r="DY41" s="34"/>
      <c r="DZ41" s="34"/>
    </row>
    <row r="42" spans="1:130" x14ac:dyDescent="0.25">
      <c r="A42" s="34"/>
      <c r="B42" s="37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  <c r="CO42" s="34"/>
      <c r="CP42" s="34"/>
      <c r="CQ42" s="34"/>
      <c r="CR42" s="34"/>
      <c r="CS42" s="34"/>
      <c r="CT42" s="34"/>
      <c r="CU42" s="34"/>
      <c r="CV42" s="34"/>
      <c r="CW42" s="34"/>
      <c r="CX42" s="34"/>
      <c r="CY42" s="34"/>
      <c r="CZ42" s="34"/>
      <c r="DA42" s="34"/>
      <c r="DB42" s="34"/>
      <c r="DC42" s="34"/>
      <c r="DD42" s="34"/>
      <c r="DE42" s="34"/>
      <c r="DF42" s="34"/>
      <c r="DG42" s="34"/>
      <c r="DH42" s="34"/>
      <c r="DI42" s="34"/>
      <c r="DJ42" s="34"/>
      <c r="DK42" s="34"/>
      <c r="DL42" s="34"/>
      <c r="DM42" s="34"/>
      <c r="DN42" s="34"/>
      <c r="DO42" s="34"/>
      <c r="DP42" s="34"/>
      <c r="DQ42" s="34"/>
      <c r="DR42" s="34"/>
      <c r="DS42" s="34"/>
      <c r="DT42" s="34"/>
      <c r="DU42" s="34"/>
      <c r="DV42" s="34"/>
      <c r="DW42" s="34"/>
      <c r="DX42" s="34"/>
      <c r="DY42" s="34"/>
      <c r="DZ42" s="34"/>
    </row>
    <row r="43" spans="1:130" x14ac:dyDescent="0.25">
      <c r="A43" s="34"/>
      <c r="B43" s="37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  <c r="CO43" s="34"/>
      <c r="CP43" s="34"/>
      <c r="CQ43" s="34"/>
      <c r="CR43" s="34"/>
      <c r="CS43" s="34"/>
      <c r="CT43" s="34"/>
      <c r="CU43" s="34"/>
      <c r="CV43" s="34"/>
      <c r="CW43" s="34"/>
      <c r="CX43" s="34"/>
      <c r="CY43" s="34"/>
      <c r="CZ43" s="34"/>
      <c r="DA43" s="34"/>
      <c r="DB43" s="34"/>
      <c r="DC43" s="34"/>
      <c r="DD43" s="34"/>
      <c r="DE43" s="34"/>
      <c r="DF43" s="34"/>
      <c r="DG43" s="34"/>
      <c r="DH43" s="34"/>
      <c r="DI43" s="34"/>
      <c r="DJ43" s="34"/>
      <c r="DK43" s="34"/>
      <c r="DL43" s="34"/>
      <c r="DM43" s="34"/>
      <c r="DN43" s="34"/>
      <c r="DO43" s="34"/>
      <c r="DP43" s="34"/>
      <c r="DQ43" s="34"/>
      <c r="DR43" s="34"/>
      <c r="DS43" s="34"/>
      <c r="DT43" s="34"/>
      <c r="DU43" s="34"/>
      <c r="DV43" s="34"/>
      <c r="DW43" s="34"/>
      <c r="DX43" s="34"/>
      <c r="DY43" s="34"/>
      <c r="DZ43" s="34"/>
    </row>
    <row r="44" spans="1:130" x14ac:dyDescent="0.25">
      <c r="A44" s="34"/>
      <c r="B44" s="37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  <c r="CO44" s="34"/>
      <c r="CP44" s="34"/>
      <c r="CQ44" s="34"/>
      <c r="CR44" s="34"/>
      <c r="CS44" s="34"/>
      <c r="CT44" s="34"/>
      <c r="CU44" s="34"/>
      <c r="CV44" s="34"/>
      <c r="CW44" s="34"/>
      <c r="CX44" s="34"/>
      <c r="CY44" s="34"/>
      <c r="CZ44" s="34"/>
      <c r="DA44" s="34"/>
      <c r="DB44" s="34"/>
      <c r="DC44" s="34"/>
      <c r="DD44" s="34"/>
      <c r="DE44" s="34"/>
      <c r="DF44" s="34"/>
      <c r="DG44" s="34"/>
      <c r="DH44" s="34"/>
      <c r="DI44" s="34"/>
      <c r="DJ44" s="34"/>
      <c r="DK44" s="34"/>
      <c r="DL44" s="34"/>
      <c r="DM44" s="34"/>
      <c r="DN44" s="34"/>
      <c r="DO44" s="34"/>
      <c r="DP44" s="34"/>
      <c r="DQ44" s="34"/>
      <c r="DR44" s="34"/>
      <c r="DS44" s="34"/>
      <c r="DT44" s="34"/>
      <c r="DU44" s="34"/>
      <c r="DV44" s="34"/>
      <c r="DW44" s="34"/>
      <c r="DX44" s="34"/>
      <c r="DY44" s="34"/>
      <c r="DZ44" s="34"/>
    </row>
    <row r="45" spans="1:130" x14ac:dyDescent="0.25">
      <c r="A45" s="34"/>
      <c r="B45" s="37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  <c r="CO45" s="34"/>
      <c r="CP45" s="34"/>
      <c r="CQ45" s="34"/>
      <c r="CR45" s="34"/>
      <c r="CS45" s="34"/>
      <c r="CT45" s="34"/>
      <c r="CU45" s="34"/>
      <c r="CV45" s="34"/>
      <c r="CW45" s="34"/>
      <c r="CX45" s="34"/>
      <c r="CY45" s="34"/>
      <c r="CZ45" s="34"/>
      <c r="DA45" s="34"/>
      <c r="DB45" s="34"/>
      <c r="DC45" s="34"/>
      <c r="DD45" s="34"/>
      <c r="DE45" s="34"/>
      <c r="DF45" s="34"/>
      <c r="DG45" s="34"/>
      <c r="DH45" s="34"/>
      <c r="DI45" s="34"/>
      <c r="DJ45" s="34"/>
      <c r="DK45" s="34"/>
      <c r="DL45" s="34"/>
      <c r="DM45" s="34"/>
      <c r="DN45" s="34"/>
      <c r="DO45" s="34"/>
      <c r="DP45" s="34"/>
      <c r="DQ45" s="34"/>
      <c r="DR45" s="34"/>
      <c r="DS45" s="34"/>
      <c r="DT45" s="34"/>
      <c r="DU45" s="34"/>
      <c r="DV45" s="34"/>
      <c r="DW45" s="34"/>
      <c r="DX45" s="34"/>
      <c r="DY45" s="34"/>
      <c r="DZ45" s="34"/>
    </row>
    <row r="46" spans="1:130" x14ac:dyDescent="0.25">
      <c r="A46" s="34"/>
      <c r="B46" s="37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  <c r="CO46" s="34"/>
      <c r="CP46" s="34"/>
      <c r="CQ46" s="34"/>
      <c r="CR46" s="34"/>
      <c r="CS46" s="34"/>
      <c r="CT46" s="34"/>
      <c r="CU46" s="34"/>
      <c r="CV46" s="34"/>
      <c r="CW46" s="34"/>
      <c r="CX46" s="34"/>
      <c r="CY46" s="34"/>
      <c r="CZ46" s="34"/>
      <c r="DA46" s="34"/>
      <c r="DB46" s="34"/>
      <c r="DC46" s="34"/>
      <c r="DD46" s="34"/>
      <c r="DE46" s="34"/>
      <c r="DF46" s="34"/>
      <c r="DG46" s="34"/>
      <c r="DH46" s="34"/>
      <c r="DI46" s="34"/>
      <c r="DJ46" s="34"/>
      <c r="DK46" s="34"/>
      <c r="DL46" s="34"/>
      <c r="DM46" s="34"/>
      <c r="DN46" s="34"/>
      <c r="DO46" s="34"/>
      <c r="DP46" s="34"/>
      <c r="DQ46" s="34"/>
      <c r="DR46" s="34"/>
      <c r="DS46" s="34"/>
      <c r="DT46" s="34"/>
      <c r="DU46" s="34"/>
      <c r="DV46" s="34"/>
      <c r="DW46" s="34"/>
      <c r="DX46" s="34"/>
      <c r="DY46" s="34"/>
      <c r="DZ46" s="34"/>
    </row>
    <row r="47" spans="1:130" x14ac:dyDescent="0.25">
      <c r="A47" s="34"/>
      <c r="B47" s="37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  <c r="CO47" s="34"/>
      <c r="CP47" s="34"/>
      <c r="CQ47" s="34"/>
      <c r="CR47" s="34"/>
      <c r="CS47" s="34"/>
      <c r="CT47" s="34"/>
      <c r="CU47" s="34"/>
      <c r="CV47" s="34"/>
      <c r="CW47" s="34"/>
      <c r="CX47" s="34"/>
      <c r="CY47" s="34"/>
      <c r="CZ47" s="34"/>
      <c r="DA47" s="34"/>
      <c r="DB47" s="34"/>
      <c r="DC47" s="34"/>
      <c r="DD47" s="34"/>
      <c r="DE47" s="34"/>
      <c r="DF47" s="34"/>
      <c r="DG47" s="34"/>
      <c r="DH47" s="34"/>
      <c r="DI47" s="34"/>
      <c r="DJ47" s="34"/>
      <c r="DK47" s="34"/>
      <c r="DL47" s="34"/>
      <c r="DM47" s="34"/>
      <c r="DN47" s="34"/>
      <c r="DO47" s="34"/>
      <c r="DP47" s="34"/>
      <c r="DQ47" s="34"/>
      <c r="DR47" s="34"/>
      <c r="DS47" s="34"/>
      <c r="DT47" s="34"/>
      <c r="DU47" s="34"/>
      <c r="DV47" s="34"/>
      <c r="DW47" s="34"/>
      <c r="DX47" s="34"/>
      <c r="DY47" s="34"/>
      <c r="DZ47" s="34"/>
    </row>
    <row r="48" spans="1:130" x14ac:dyDescent="0.25">
      <c r="A48" s="34"/>
      <c r="B48" s="37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  <c r="CO48" s="34"/>
      <c r="CP48" s="34"/>
      <c r="CQ48" s="34"/>
      <c r="CR48" s="34"/>
      <c r="CS48" s="34"/>
      <c r="CT48" s="34"/>
      <c r="CU48" s="34"/>
      <c r="CV48" s="34"/>
      <c r="CW48" s="34"/>
      <c r="CX48" s="34"/>
      <c r="CY48" s="34"/>
      <c r="CZ48" s="34"/>
      <c r="DA48" s="34"/>
      <c r="DB48" s="34"/>
      <c r="DC48" s="34"/>
      <c r="DD48" s="34"/>
      <c r="DE48" s="34"/>
      <c r="DF48" s="34"/>
      <c r="DG48" s="34"/>
      <c r="DH48" s="34"/>
      <c r="DI48" s="34"/>
      <c r="DJ48" s="34"/>
      <c r="DK48" s="34"/>
      <c r="DL48" s="34"/>
      <c r="DM48" s="34"/>
      <c r="DN48" s="34"/>
      <c r="DO48" s="34"/>
      <c r="DP48" s="34"/>
      <c r="DQ48" s="34"/>
      <c r="DR48" s="34"/>
      <c r="DS48" s="34"/>
      <c r="DT48" s="34"/>
      <c r="DU48" s="34"/>
      <c r="DV48" s="34"/>
      <c r="DW48" s="34"/>
      <c r="DX48" s="34"/>
      <c r="DY48" s="34"/>
      <c r="DZ48" s="34"/>
    </row>
    <row r="49" spans="1:130" x14ac:dyDescent="0.25">
      <c r="A49" s="34"/>
      <c r="B49" s="37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  <c r="CO49" s="34"/>
      <c r="CP49" s="34"/>
      <c r="CQ49" s="34"/>
      <c r="CR49" s="34"/>
      <c r="CS49" s="34"/>
      <c r="CT49" s="34"/>
      <c r="CU49" s="34"/>
      <c r="CV49" s="34"/>
      <c r="CW49" s="34"/>
      <c r="CX49" s="34"/>
      <c r="CY49" s="34"/>
      <c r="CZ49" s="34"/>
      <c r="DA49" s="34"/>
      <c r="DB49" s="34"/>
      <c r="DC49" s="34"/>
      <c r="DD49" s="34"/>
      <c r="DE49" s="34"/>
      <c r="DF49" s="34"/>
      <c r="DG49" s="34"/>
      <c r="DH49" s="34"/>
      <c r="DI49" s="34"/>
      <c r="DJ49" s="34"/>
      <c r="DK49" s="34"/>
      <c r="DL49" s="34"/>
      <c r="DM49" s="34"/>
      <c r="DN49" s="34"/>
      <c r="DO49" s="34"/>
      <c r="DP49" s="34"/>
      <c r="DQ49" s="34"/>
      <c r="DR49" s="34"/>
      <c r="DS49" s="34"/>
      <c r="DT49" s="34"/>
      <c r="DU49" s="34"/>
      <c r="DV49" s="34"/>
      <c r="DW49" s="34"/>
      <c r="DX49" s="34"/>
      <c r="DY49" s="34"/>
      <c r="DZ49" s="34"/>
    </row>
    <row r="50" spans="1:130" x14ac:dyDescent="0.25">
      <c r="A50" s="34"/>
      <c r="B50" s="37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  <c r="CO50" s="34"/>
      <c r="CP50" s="34"/>
      <c r="CQ50" s="34"/>
      <c r="CR50" s="34"/>
      <c r="CS50" s="34"/>
      <c r="CT50" s="34"/>
      <c r="CU50" s="34"/>
      <c r="CV50" s="34"/>
      <c r="CW50" s="34"/>
      <c r="CX50" s="34"/>
      <c r="CY50" s="34"/>
      <c r="CZ50" s="34"/>
      <c r="DA50" s="34"/>
      <c r="DB50" s="34"/>
      <c r="DC50" s="34"/>
      <c r="DD50" s="34"/>
      <c r="DE50" s="34"/>
      <c r="DF50" s="34"/>
      <c r="DG50" s="34"/>
      <c r="DH50" s="34"/>
      <c r="DI50" s="34"/>
      <c r="DJ50" s="34"/>
      <c r="DK50" s="34"/>
      <c r="DL50" s="34"/>
      <c r="DM50" s="34"/>
      <c r="DN50" s="34"/>
      <c r="DO50" s="34"/>
      <c r="DP50" s="34"/>
      <c r="DQ50" s="34"/>
      <c r="DR50" s="34"/>
      <c r="DS50" s="34"/>
      <c r="DT50" s="34"/>
      <c r="DU50" s="34"/>
      <c r="DV50" s="34"/>
      <c r="DW50" s="34"/>
      <c r="DX50" s="34"/>
      <c r="DY50" s="34"/>
      <c r="DZ50" s="34"/>
    </row>
    <row r="51" spans="1:130" x14ac:dyDescent="0.25">
      <c r="A51" s="34"/>
      <c r="B51" s="37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  <c r="CO51" s="34"/>
      <c r="CP51" s="34"/>
      <c r="CQ51" s="34"/>
      <c r="CR51" s="34"/>
      <c r="CS51" s="34"/>
      <c r="CT51" s="34"/>
      <c r="CU51" s="34"/>
      <c r="CV51" s="34"/>
      <c r="CW51" s="34"/>
      <c r="CX51" s="34"/>
      <c r="CY51" s="34"/>
      <c r="CZ51" s="34"/>
      <c r="DA51" s="34"/>
      <c r="DB51" s="34"/>
      <c r="DC51" s="34"/>
      <c r="DD51" s="34"/>
      <c r="DE51" s="34"/>
      <c r="DF51" s="34"/>
      <c r="DG51" s="34"/>
      <c r="DH51" s="34"/>
      <c r="DI51" s="34"/>
      <c r="DJ51" s="34"/>
      <c r="DK51" s="34"/>
      <c r="DL51" s="34"/>
      <c r="DM51" s="34"/>
      <c r="DN51" s="34"/>
      <c r="DO51" s="34"/>
      <c r="DP51" s="34"/>
      <c r="DQ51" s="34"/>
      <c r="DR51" s="34"/>
      <c r="DS51" s="34"/>
      <c r="DT51" s="34"/>
      <c r="DU51" s="34"/>
      <c r="DV51" s="34"/>
      <c r="DW51" s="34"/>
      <c r="DX51" s="34"/>
      <c r="DY51" s="34"/>
      <c r="DZ51" s="34"/>
    </row>
    <row r="52" spans="1:130" x14ac:dyDescent="0.25">
      <c r="A52" s="34"/>
      <c r="B52" s="37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  <c r="CO52" s="34"/>
      <c r="CP52" s="34"/>
      <c r="CQ52" s="34"/>
      <c r="CR52" s="34"/>
      <c r="CS52" s="34"/>
      <c r="CT52" s="34"/>
      <c r="CU52" s="34"/>
      <c r="CV52" s="34"/>
      <c r="CW52" s="34"/>
      <c r="CX52" s="34"/>
      <c r="CY52" s="34"/>
      <c r="CZ52" s="34"/>
      <c r="DA52" s="34"/>
      <c r="DB52" s="34"/>
      <c r="DC52" s="34"/>
      <c r="DD52" s="34"/>
      <c r="DE52" s="34"/>
      <c r="DF52" s="34"/>
      <c r="DG52" s="34"/>
      <c r="DH52" s="34"/>
      <c r="DI52" s="34"/>
      <c r="DJ52" s="34"/>
      <c r="DK52" s="34"/>
      <c r="DL52" s="34"/>
      <c r="DM52" s="34"/>
      <c r="DN52" s="34"/>
      <c r="DO52" s="34"/>
      <c r="DP52" s="34"/>
      <c r="DQ52" s="34"/>
      <c r="DR52" s="34"/>
      <c r="DS52" s="34"/>
      <c r="DT52" s="34"/>
      <c r="DU52" s="34"/>
      <c r="DV52" s="34"/>
      <c r="DW52" s="34"/>
      <c r="DX52" s="34"/>
      <c r="DY52" s="34"/>
      <c r="DZ52" s="34"/>
    </row>
    <row r="53" spans="1:130" x14ac:dyDescent="0.25">
      <c r="A53" s="34"/>
      <c r="B53" s="37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  <c r="CO53" s="34"/>
      <c r="CP53" s="34"/>
      <c r="CQ53" s="34"/>
      <c r="CR53" s="34"/>
      <c r="CS53" s="34"/>
      <c r="CT53" s="34"/>
      <c r="CU53" s="34"/>
      <c r="CV53" s="34"/>
      <c r="CW53" s="34"/>
      <c r="CX53" s="34"/>
      <c r="CY53" s="34"/>
      <c r="CZ53" s="34"/>
      <c r="DA53" s="34"/>
      <c r="DB53" s="34"/>
      <c r="DC53" s="34"/>
      <c r="DD53" s="34"/>
      <c r="DE53" s="34"/>
      <c r="DF53" s="34"/>
      <c r="DG53" s="34"/>
      <c r="DH53" s="34"/>
      <c r="DI53" s="34"/>
      <c r="DJ53" s="34"/>
      <c r="DK53" s="34"/>
      <c r="DL53" s="34"/>
      <c r="DM53" s="34"/>
      <c r="DN53" s="34"/>
      <c r="DO53" s="34"/>
      <c r="DP53" s="34"/>
      <c r="DQ53" s="34"/>
      <c r="DR53" s="34"/>
      <c r="DS53" s="34"/>
      <c r="DT53" s="34"/>
      <c r="DU53" s="34"/>
      <c r="DV53" s="34"/>
      <c r="DW53" s="34"/>
      <c r="DX53" s="34"/>
      <c r="DY53" s="34"/>
      <c r="DZ53" s="34"/>
    </row>
    <row r="54" spans="1:130" x14ac:dyDescent="0.25">
      <c r="A54" s="34"/>
      <c r="B54" s="37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  <c r="CO54" s="34"/>
      <c r="CP54" s="34"/>
      <c r="CQ54" s="34"/>
      <c r="CR54" s="34"/>
      <c r="CS54" s="34"/>
      <c r="CT54" s="34"/>
      <c r="CU54" s="34"/>
      <c r="CV54" s="34"/>
      <c r="CW54" s="34"/>
      <c r="CX54" s="34"/>
      <c r="CY54" s="34"/>
      <c r="CZ54" s="34"/>
      <c r="DA54" s="34"/>
      <c r="DB54" s="34"/>
      <c r="DC54" s="34"/>
      <c r="DD54" s="34"/>
      <c r="DE54" s="34"/>
      <c r="DF54" s="34"/>
      <c r="DG54" s="34"/>
      <c r="DH54" s="34"/>
      <c r="DI54" s="34"/>
      <c r="DJ54" s="34"/>
      <c r="DK54" s="34"/>
      <c r="DL54" s="34"/>
      <c r="DM54" s="34"/>
      <c r="DN54" s="34"/>
      <c r="DO54" s="34"/>
      <c r="DP54" s="34"/>
      <c r="DQ54" s="34"/>
      <c r="DR54" s="34"/>
      <c r="DS54" s="34"/>
      <c r="DT54" s="34"/>
      <c r="DU54" s="34"/>
      <c r="DV54" s="34"/>
      <c r="DW54" s="34"/>
      <c r="DX54" s="34"/>
      <c r="DY54" s="34"/>
      <c r="DZ54" s="34"/>
    </row>
    <row r="55" spans="1:130" x14ac:dyDescent="0.25">
      <c r="A55" s="34"/>
      <c r="B55" s="37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  <c r="CM55" s="34"/>
      <c r="CN55" s="34"/>
      <c r="CO55" s="34"/>
      <c r="CP55" s="34"/>
      <c r="CQ55" s="34"/>
      <c r="CR55" s="34"/>
      <c r="CS55" s="34"/>
      <c r="CT55" s="34"/>
      <c r="CU55" s="34"/>
      <c r="CV55" s="34"/>
      <c r="CW55" s="34"/>
      <c r="CX55" s="34"/>
      <c r="CY55" s="34"/>
      <c r="CZ55" s="34"/>
      <c r="DA55" s="34"/>
      <c r="DB55" s="34"/>
      <c r="DC55" s="34"/>
      <c r="DD55" s="34"/>
      <c r="DE55" s="34"/>
      <c r="DF55" s="34"/>
      <c r="DG55" s="34"/>
      <c r="DH55" s="34"/>
      <c r="DI55" s="34"/>
      <c r="DJ55" s="34"/>
      <c r="DK55" s="34"/>
      <c r="DL55" s="34"/>
      <c r="DM55" s="34"/>
      <c r="DN55" s="34"/>
      <c r="DO55" s="34"/>
      <c r="DP55" s="34"/>
      <c r="DQ55" s="34"/>
      <c r="DR55" s="34"/>
      <c r="DS55" s="34"/>
      <c r="DT55" s="34"/>
      <c r="DU55" s="34"/>
      <c r="DV55" s="34"/>
      <c r="DW55" s="34"/>
      <c r="DX55" s="34"/>
      <c r="DY55" s="34"/>
      <c r="DZ55" s="34"/>
    </row>
    <row r="56" spans="1:130" x14ac:dyDescent="0.25">
      <c r="A56" s="34"/>
      <c r="B56" s="37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  <c r="CO56" s="34"/>
      <c r="CP56" s="34"/>
      <c r="CQ56" s="34"/>
      <c r="CR56" s="34"/>
      <c r="CS56" s="34"/>
      <c r="CT56" s="34"/>
      <c r="CU56" s="34"/>
      <c r="CV56" s="34"/>
      <c r="CW56" s="34"/>
      <c r="CX56" s="34"/>
      <c r="CY56" s="34"/>
      <c r="CZ56" s="34"/>
      <c r="DA56" s="34"/>
      <c r="DB56" s="34"/>
      <c r="DC56" s="34"/>
      <c r="DD56" s="34"/>
      <c r="DE56" s="34"/>
      <c r="DF56" s="34"/>
      <c r="DG56" s="34"/>
      <c r="DH56" s="34"/>
      <c r="DI56" s="34"/>
      <c r="DJ56" s="34"/>
      <c r="DK56" s="34"/>
      <c r="DL56" s="34"/>
      <c r="DM56" s="34"/>
      <c r="DN56" s="34"/>
      <c r="DO56" s="34"/>
      <c r="DP56" s="34"/>
      <c r="DQ56" s="34"/>
      <c r="DR56" s="34"/>
      <c r="DS56" s="34"/>
      <c r="DT56" s="34"/>
      <c r="DU56" s="34"/>
      <c r="DV56" s="34"/>
      <c r="DW56" s="34"/>
      <c r="DX56" s="34"/>
      <c r="DY56" s="34"/>
      <c r="DZ56" s="34"/>
    </row>
    <row r="57" spans="1:130" x14ac:dyDescent="0.25">
      <c r="A57" s="34"/>
      <c r="B57" s="37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  <c r="CO57" s="34"/>
      <c r="CP57" s="34"/>
      <c r="CQ57" s="34"/>
      <c r="CR57" s="34"/>
      <c r="CS57" s="34"/>
      <c r="CT57" s="34"/>
      <c r="CU57" s="34"/>
      <c r="CV57" s="34"/>
      <c r="CW57" s="34"/>
      <c r="CX57" s="34"/>
      <c r="CY57" s="34"/>
      <c r="CZ57" s="34"/>
      <c r="DA57" s="34"/>
      <c r="DB57" s="34"/>
      <c r="DC57" s="34"/>
      <c r="DD57" s="34"/>
      <c r="DE57" s="34"/>
      <c r="DF57" s="34"/>
      <c r="DG57" s="34"/>
      <c r="DH57" s="34"/>
      <c r="DI57" s="34"/>
      <c r="DJ57" s="34"/>
      <c r="DK57" s="34"/>
      <c r="DL57" s="34"/>
      <c r="DM57" s="34"/>
      <c r="DN57" s="34"/>
      <c r="DO57" s="34"/>
      <c r="DP57" s="34"/>
      <c r="DQ57" s="34"/>
      <c r="DR57" s="34"/>
      <c r="DS57" s="34"/>
      <c r="DT57" s="34"/>
      <c r="DU57" s="34"/>
      <c r="DV57" s="34"/>
      <c r="DW57" s="34"/>
      <c r="DX57" s="34"/>
      <c r="DY57" s="34"/>
      <c r="DZ57" s="34"/>
    </row>
    <row r="58" spans="1:130" x14ac:dyDescent="0.25">
      <c r="A58" s="34"/>
      <c r="B58" s="37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  <c r="CO58" s="34"/>
      <c r="CP58" s="34"/>
      <c r="CQ58" s="34"/>
      <c r="CR58" s="34"/>
      <c r="CS58" s="34"/>
      <c r="CT58" s="34"/>
      <c r="CU58" s="34"/>
      <c r="CV58" s="34"/>
      <c r="CW58" s="34"/>
      <c r="CX58" s="34"/>
      <c r="CY58" s="34"/>
      <c r="CZ58" s="34"/>
      <c r="DA58" s="34"/>
      <c r="DB58" s="34"/>
      <c r="DC58" s="34"/>
      <c r="DD58" s="34"/>
      <c r="DE58" s="34"/>
      <c r="DF58" s="34"/>
      <c r="DG58" s="34"/>
      <c r="DH58" s="34"/>
      <c r="DI58" s="34"/>
      <c r="DJ58" s="34"/>
      <c r="DK58" s="34"/>
      <c r="DL58" s="34"/>
      <c r="DM58" s="34"/>
      <c r="DN58" s="34"/>
      <c r="DO58" s="34"/>
      <c r="DP58" s="34"/>
      <c r="DQ58" s="34"/>
      <c r="DR58" s="34"/>
      <c r="DS58" s="34"/>
      <c r="DT58" s="34"/>
      <c r="DU58" s="34"/>
      <c r="DV58" s="34"/>
      <c r="DW58" s="34"/>
      <c r="DX58" s="34"/>
      <c r="DY58" s="34"/>
      <c r="DZ58" s="34"/>
    </row>
    <row r="59" spans="1:130" x14ac:dyDescent="0.25">
      <c r="A59" s="34"/>
      <c r="B59" s="37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  <c r="CN59" s="34"/>
      <c r="CO59" s="34"/>
      <c r="CP59" s="34"/>
      <c r="CQ59" s="34"/>
      <c r="CR59" s="34"/>
      <c r="CS59" s="34"/>
      <c r="CT59" s="34"/>
      <c r="CU59" s="34"/>
      <c r="CV59" s="34"/>
      <c r="CW59" s="34"/>
      <c r="CX59" s="34"/>
      <c r="CY59" s="34"/>
      <c r="CZ59" s="34"/>
      <c r="DA59" s="34"/>
      <c r="DB59" s="34"/>
      <c r="DC59" s="34"/>
      <c r="DD59" s="34"/>
      <c r="DE59" s="34"/>
      <c r="DF59" s="34"/>
      <c r="DG59" s="34"/>
      <c r="DH59" s="34"/>
      <c r="DI59" s="34"/>
      <c r="DJ59" s="34"/>
      <c r="DK59" s="34"/>
      <c r="DL59" s="34"/>
      <c r="DM59" s="34"/>
      <c r="DN59" s="34"/>
      <c r="DO59" s="34"/>
      <c r="DP59" s="34"/>
      <c r="DQ59" s="34"/>
      <c r="DR59" s="34"/>
      <c r="DS59" s="34"/>
      <c r="DT59" s="34"/>
      <c r="DU59" s="34"/>
      <c r="DV59" s="34"/>
      <c r="DW59" s="34"/>
      <c r="DX59" s="34"/>
      <c r="DY59" s="34"/>
      <c r="DZ59" s="34"/>
    </row>
    <row r="60" spans="1:130" x14ac:dyDescent="0.25">
      <c r="A60" s="34"/>
      <c r="B60" s="37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34"/>
      <c r="CN60" s="34"/>
      <c r="CO60" s="34"/>
      <c r="CP60" s="34"/>
      <c r="CQ60" s="34"/>
      <c r="CR60" s="34"/>
      <c r="CS60" s="34"/>
      <c r="CT60" s="34"/>
      <c r="CU60" s="34"/>
      <c r="CV60" s="34"/>
      <c r="CW60" s="34"/>
      <c r="CX60" s="34"/>
      <c r="CY60" s="34"/>
      <c r="CZ60" s="34"/>
      <c r="DA60" s="34"/>
      <c r="DB60" s="34"/>
      <c r="DC60" s="34"/>
      <c r="DD60" s="34"/>
      <c r="DE60" s="34"/>
      <c r="DF60" s="34"/>
      <c r="DG60" s="34"/>
      <c r="DH60" s="34"/>
      <c r="DI60" s="34"/>
      <c r="DJ60" s="34"/>
      <c r="DK60" s="34"/>
      <c r="DL60" s="34"/>
      <c r="DM60" s="34"/>
      <c r="DN60" s="34"/>
      <c r="DO60" s="34"/>
      <c r="DP60" s="34"/>
      <c r="DQ60" s="34"/>
      <c r="DR60" s="34"/>
      <c r="DS60" s="34"/>
      <c r="DT60" s="34"/>
      <c r="DU60" s="34"/>
      <c r="DV60" s="34"/>
      <c r="DW60" s="34"/>
      <c r="DX60" s="34"/>
      <c r="DY60" s="34"/>
      <c r="DZ60" s="34"/>
    </row>
    <row r="61" spans="1:130" x14ac:dyDescent="0.25">
      <c r="A61" s="34"/>
      <c r="B61" s="37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  <c r="CN61" s="34"/>
      <c r="CO61" s="34"/>
      <c r="CP61" s="34"/>
      <c r="CQ61" s="34"/>
      <c r="CR61" s="34"/>
      <c r="CS61" s="34"/>
      <c r="CT61" s="34"/>
      <c r="CU61" s="34"/>
      <c r="CV61" s="34"/>
      <c r="CW61" s="34"/>
      <c r="CX61" s="34"/>
      <c r="CY61" s="34"/>
      <c r="CZ61" s="34"/>
      <c r="DA61" s="34"/>
      <c r="DB61" s="34"/>
      <c r="DC61" s="34"/>
      <c r="DD61" s="34"/>
      <c r="DE61" s="34"/>
      <c r="DF61" s="34"/>
      <c r="DG61" s="34"/>
      <c r="DH61" s="34"/>
      <c r="DI61" s="34"/>
      <c r="DJ61" s="34"/>
      <c r="DK61" s="34"/>
      <c r="DL61" s="34"/>
      <c r="DM61" s="34"/>
      <c r="DN61" s="34"/>
      <c r="DO61" s="34"/>
      <c r="DP61" s="34"/>
      <c r="DQ61" s="34"/>
      <c r="DR61" s="34"/>
      <c r="DS61" s="34"/>
      <c r="DT61" s="34"/>
      <c r="DU61" s="34"/>
      <c r="DV61" s="34"/>
      <c r="DW61" s="34"/>
      <c r="DX61" s="34"/>
      <c r="DY61" s="34"/>
      <c r="DZ61" s="34"/>
    </row>
    <row r="62" spans="1:130" x14ac:dyDescent="0.25">
      <c r="A62" s="34"/>
      <c r="B62" s="37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  <c r="CN62" s="34"/>
      <c r="CO62" s="34"/>
      <c r="CP62" s="34"/>
      <c r="CQ62" s="34"/>
      <c r="CR62" s="34"/>
      <c r="CS62" s="34"/>
      <c r="CT62" s="34"/>
      <c r="CU62" s="34"/>
      <c r="CV62" s="34"/>
      <c r="CW62" s="34"/>
      <c r="CX62" s="34"/>
      <c r="CY62" s="34"/>
      <c r="CZ62" s="34"/>
      <c r="DA62" s="34"/>
      <c r="DB62" s="34"/>
      <c r="DC62" s="34"/>
      <c r="DD62" s="34"/>
      <c r="DE62" s="34"/>
      <c r="DF62" s="34"/>
      <c r="DG62" s="34"/>
      <c r="DH62" s="34"/>
      <c r="DI62" s="34"/>
      <c r="DJ62" s="34"/>
      <c r="DK62" s="34"/>
      <c r="DL62" s="34"/>
      <c r="DM62" s="34"/>
      <c r="DN62" s="34"/>
      <c r="DO62" s="34"/>
      <c r="DP62" s="34"/>
      <c r="DQ62" s="34"/>
      <c r="DR62" s="34"/>
      <c r="DS62" s="34"/>
      <c r="DT62" s="34"/>
      <c r="DU62" s="34"/>
      <c r="DV62" s="34"/>
      <c r="DW62" s="34"/>
      <c r="DX62" s="34"/>
      <c r="DY62" s="34"/>
      <c r="DZ62" s="34"/>
    </row>
    <row r="63" spans="1:130" x14ac:dyDescent="0.25">
      <c r="A63" s="34"/>
      <c r="B63" s="37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  <c r="CM63" s="34"/>
      <c r="CN63" s="34"/>
      <c r="CO63" s="34"/>
      <c r="CP63" s="34"/>
      <c r="CQ63" s="34"/>
      <c r="CR63" s="34"/>
      <c r="CS63" s="34"/>
      <c r="CT63" s="34"/>
      <c r="CU63" s="34"/>
      <c r="CV63" s="34"/>
      <c r="CW63" s="34"/>
      <c r="CX63" s="34"/>
      <c r="CY63" s="34"/>
      <c r="CZ63" s="34"/>
      <c r="DA63" s="34"/>
      <c r="DB63" s="34"/>
      <c r="DC63" s="34"/>
      <c r="DD63" s="34"/>
      <c r="DE63" s="34"/>
      <c r="DF63" s="34"/>
      <c r="DG63" s="34"/>
      <c r="DH63" s="34"/>
      <c r="DI63" s="34"/>
      <c r="DJ63" s="34"/>
      <c r="DK63" s="34"/>
      <c r="DL63" s="34"/>
      <c r="DM63" s="34"/>
      <c r="DN63" s="34"/>
      <c r="DO63" s="34"/>
      <c r="DP63" s="34"/>
      <c r="DQ63" s="34"/>
      <c r="DR63" s="34"/>
      <c r="DS63" s="34"/>
      <c r="DT63" s="34"/>
      <c r="DU63" s="34"/>
      <c r="DV63" s="34"/>
      <c r="DW63" s="34"/>
      <c r="DX63" s="34"/>
      <c r="DY63" s="34"/>
      <c r="DZ63" s="34"/>
    </row>
    <row r="64" spans="1:130" x14ac:dyDescent="0.25">
      <c r="A64" s="34"/>
      <c r="B64" s="37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  <c r="CO64" s="34"/>
      <c r="CP64" s="34"/>
      <c r="CQ64" s="34"/>
      <c r="CR64" s="34"/>
      <c r="CS64" s="34"/>
      <c r="CT64" s="34"/>
      <c r="CU64" s="34"/>
      <c r="CV64" s="34"/>
      <c r="CW64" s="34"/>
      <c r="CX64" s="34"/>
      <c r="CY64" s="34"/>
      <c r="CZ64" s="34"/>
      <c r="DA64" s="34"/>
      <c r="DB64" s="34"/>
      <c r="DC64" s="34"/>
      <c r="DD64" s="34"/>
      <c r="DE64" s="34"/>
      <c r="DF64" s="34"/>
      <c r="DG64" s="34"/>
      <c r="DH64" s="34"/>
      <c r="DI64" s="34"/>
      <c r="DJ64" s="34"/>
      <c r="DK64" s="34"/>
      <c r="DL64" s="34"/>
      <c r="DM64" s="34"/>
      <c r="DN64" s="34"/>
      <c r="DO64" s="34"/>
      <c r="DP64" s="34"/>
      <c r="DQ64" s="34"/>
      <c r="DR64" s="34"/>
      <c r="DS64" s="34"/>
      <c r="DT64" s="34"/>
      <c r="DU64" s="34"/>
      <c r="DV64" s="34"/>
      <c r="DW64" s="34"/>
      <c r="DX64" s="34"/>
      <c r="DY64" s="34"/>
      <c r="DZ64" s="34"/>
    </row>
    <row r="65" spans="1:130" x14ac:dyDescent="0.25">
      <c r="A65" s="34"/>
      <c r="B65" s="37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  <c r="CO65" s="34"/>
      <c r="CP65" s="34"/>
      <c r="CQ65" s="34"/>
      <c r="CR65" s="34"/>
      <c r="CS65" s="34"/>
      <c r="CT65" s="34"/>
      <c r="CU65" s="34"/>
      <c r="CV65" s="34"/>
      <c r="CW65" s="34"/>
      <c r="CX65" s="34"/>
      <c r="CY65" s="34"/>
      <c r="CZ65" s="34"/>
      <c r="DA65" s="34"/>
      <c r="DB65" s="34"/>
      <c r="DC65" s="34"/>
      <c r="DD65" s="34"/>
      <c r="DE65" s="34"/>
      <c r="DF65" s="34"/>
      <c r="DG65" s="34"/>
      <c r="DH65" s="34"/>
      <c r="DI65" s="34"/>
      <c r="DJ65" s="34"/>
      <c r="DK65" s="34"/>
      <c r="DL65" s="34"/>
      <c r="DM65" s="34"/>
      <c r="DN65" s="34"/>
      <c r="DO65" s="34"/>
      <c r="DP65" s="34"/>
      <c r="DQ65" s="34"/>
      <c r="DR65" s="34"/>
      <c r="DS65" s="34"/>
      <c r="DT65" s="34"/>
      <c r="DU65" s="34"/>
      <c r="DV65" s="34"/>
      <c r="DW65" s="34"/>
      <c r="DX65" s="34"/>
      <c r="DY65" s="34"/>
      <c r="DZ65" s="34"/>
    </row>
    <row r="66" spans="1:130" x14ac:dyDescent="0.25">
      <c r="A66" s="34"/>
      <c r="B66" s="37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  <c r="CO66" s="34"/>
      <c r="CP66" s="34"/>
      <c r="CQ66" s="34"/>
      <c r="CR66" s="34"/>
      <c r="CS66" s="34"/>
      <c r="CT66" s="34"/>
      <c r="CU66" s="34"/>
      <c r="CV66" s="34"/>
      <c r="CW66" s="34"/>
      <c r="CX66" s="34"/>
      <c r="CY66" s="34"/>
      <c r="CZ66" s="34"/>
      <c r="DA66" s="34"/>
      <c r="DB66" s="34"/>
      <c r="DC66" s="34"/>
      <c r="DD66" s="34"/>
      <c r="DE66" s="34"/>
      <c r="DF66" s="34"/>
      <c r="DG66" s="34"/>
      <c r="DH66" s="34"/>
      <c r="DI66" s="34"/>
      <c r="DJ66" s="34"/>
      <c r="DK66" s="34"/>
      <c r="DL66" s="34"/>
      <c r="DM66" s="34"/>
      <c r="DN66" s="34"/>
      <c r="DO66" s="34"/>
      <c r="DP66" s="34"/>
      <c r="DQ66" s="34"/>
      <c r="DR66" s="34"/>
      <c r="DS66" s="34"/>
      <c r="DT66" s="34"/>
      <c r="DU66" s="34"/>
      <c r="DV66" s="34"/>
      <c r="DW66" s="34"/>
      <c r="DX66" s="34"/>
      <c r="DY66" s="34"/>
      <c r="DZ66" s="34"/>
    </row>
    <row r="67" spans="1:130" x14ac:dyDescent="0.25">
      <c r="A67" s="34"/>
      <c r="B67" s="37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  <c r="CN67" s="34"/>
      <c r="CO67" s="34"/>
      <c r="CP67" s="34"/>
      <c r="CQ67" s="34"/>
      <c r="CR67" s="34"/>
      <c r="CS67" s="34"/>
      <c r="CT67" s="34"/>
      <c r="CU67" s="34"/>
      <c r="CV67" s="34"/>
      <c r="CW67" s="34"/>
      <c r="CX67" s="34"/>
      <c r="CY67" s="34"/>
      <c r="CZ67" s="34"/>
      <c r="DA67" s="34"/>
      <c r="DB67" s="34"/>
      <c r="DC67" s="34"/>
      <c r="DD67" s="34"/>
      <c r="DE67" s="34"/>
      <c r="DF67" s="34"/>
      <c r="DG67" s="34"/>
      <c r="DH67" s="34"/>
      <c r="DI67" s="34"/>
      <c r="DJ67" s="34"/>
      <c r="DK67" s="34"/>
      <c r="DL67" s="34"/>
      <c r="DM67" s="34"/>
      <c r="DN67" s="34"/>
      <c r="DO67" s="34"/>
      <c r="DP67" s="34"/>
      <c r="DQ67" s="34"/>
      <c r="DR67" s="34"/>
      <c r="DS67" s="34"/>
      <c r="DT67" s="34"/>
      <c r="DU67" s="34"/>
      <c r="DV67" s="34"/>
      <c r="DW67" s="34"/>
      <c r="DX67" s="34"/>
      <c r="DY67" s="34"/>
      <c r="DZ67" s="34"/>
    </row>
    <row r="68" spans="1:130" x14ac:dyDescent="0.25">
      <c r="A68" s="34"/>
      <c r="B68" s="37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  <c r="CO68" s="34"/>
      <c r="CP68" s="34"/>
      <c r="CQ68" s="34"/>
      <c r="CR68" s="34"/>
      <c r="CS68" s="34"/>
      <c r="CT68" s="34"/>
      <c r="CU68" s="34"/>
      <c r="CV68" s="34"/>
      <c r="CW68" s="34"/>
      <c r="CX68" s="34"/>
      <c r="CY68" s="34"/>
      <c r="CZ68" s="34"/>
      <c r="DA68" s="34"/>
      <c r="DB68" s="34"/>
      <c r="DC68" s="34"/>
      <c r="DD68" s="34"/>
      <c r="DE68" s="34"/>
      <c r="DF68" s="34"/>
      <c r="DG68" s="34"/>
      <c r="DH68" s="34"/>
      <c r="DI68" s="34"/>
      <c r="DJ68" s="34"/>
      <c r="DK68" s="34"/>
      <c r="DL68" s="34"/>
      <c r="DM68" s="34"/>
      <c r="DN68" s="34"/>
      <c r="DO68" s="34"/>
      <c r="DP68" s="34"/>
      <c r="DQ68" s="34"/>
      <c r="DR68" s="34"/>
      <c r="DS68" s="34"/>
      <c r="DT68" s="34"/>
      <c r="DU68" s="34"/>
      <c r="DV68" s="34"/>
      <c r="DW68" s="34"/>
      <c r="DX68" s="34"/>
      <c r="DY68" s="34"/>
      <c r="DZ68" s="34"/>
    </row>
    <row r="69" spans="1:130" x14ac:dyDescent="0.25">
      <c r="A69" s="34"/>
      <c r="B69" s="37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  <c r="CN69" s="34"/>
      <c r="CO69" s="34"/>
      <c r="CP69" s="34"/>
      <c r="CQ69" s="34"/>
      <c r="CR69" s="34"/>
      <c r="CS69" s="34"/>
      <c r="CT69" s="34"/>
      <c r="CU69" s="34"/>
      <c r="CV69" s="34"/>
      <c r="CW69" s="34"/>
      <c r="CX69" s="34"/>
      <c r="CY69" s="34"/>
      <c r="CZ69" s="34"/>
      <c r="DA69" s="34"/>
      <c r="DB69" s="34"/>
      <c r="DC69" s="34"/>
      <c r="DD69" s="34"/>
      <c r="DE69" s="34"/>
      <c r="DF69" s="34"/>
      <c r="DG69" s="34"/>
      <c r="DH69" s="34"/>
      <c r="DI69" s="34"/>
      <c r="DJ69" s="34"/>
      <c r="DK69" s="34"/>
      <c r="DL69" s="34"/>
      <c r="DM69" s="34"/>
      <c r="DN69" s="34"/>
      <c r="DO69" s="34"/>
      <c r="DP69" s="34"/>
      <c r="DQ69" s="34"/>
      <c r="DR69" s="34"/>
      <c r="DS69" s="34"/>
      <c r="DT69" s="34"/>
      <c r="DU69" s="34"/>
      <c r="DV69" s="34"/>
      <c r="DW69" s="34"/>
      <c r="DX69" s="34"/>
      <c r="DY69" s="34"/>
      <c r="DZ69" s="34"/>
    </row>
    <row r="70" spans="1:130" x14ac:dyDescent="0.25">
      <c r="A70" s="34"/>
      <c r="B70" s="37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  <c r="CN70" s="34"/>
      <c r="CO70" s="34"/>
      <c r="CP70" s="34"/>
      <c r="CQ70" s="34"/>
      <c r="CR70" s="34"/>
      <c r="CS70" s="34"/>
      <c r="CT70" s="34"/>
      <c r="CU70" s="34"/>
      <c r="CV70" s="34"/>
      <c r="CW70" s="34"/>
      <c r="CX70" s="34"/>
      <c r="CY70" s="34"/>
      <c r="CZ70" s="34"/>
      <c r="DA70" s="34"/>
      <c r="DB70" s="34"/>
      <c r="DC70" s="34"/>
      <c r="DD70" s="34"/>
      <c r="DE70" s="34"/>
      <c r="DF70" s="34"/>
      <c r="DG70" s="34"/>
      <c r="DH70" s="34"/>
      <c r="DI70" s="34"/>
      <c r="DJ70" s="34"/>
      <c r="DK70" s="34"/>
      <c r="DL70" s="34"/>
      <c r="DM70" s="34"/>
      <c r="DN70" s="34"/>
      <c r="DO70" s="34"/>
      <c r="DP70" s="34"/>
      <c r="DQ70" s="34"/>
      <c r="DR70" s="34"/>
      <c r="DS70" s="34"/>
      <c r="DT70" s="34"/>
      <c r="DU70" s="34"/>
      <c r="DV70" s="34"/>
      <c r="DW70" s="34"/>
      <c r="DX70" s="34"/>
      <c r="DY70" s="34"/>
      <c r="DZ70" s="34"/>
    </row>
    <row r="71" spans="1:130" x14ac:dyDescent="0.25">
      <c r="A71" s="34"/>
      <c r="B71" s="37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34"/>
      <c r="CN71" s="34"/>
      <c r="CO71" s="34"/>
      <c r="CP71" s="34"/>
      <c r="CQ71" s="34"/>
      <c r="CR71" s="34"/>
      <c r="CS71" s="34"/>
      <c r="CT71" s="34"/>
      <c r="CU71" s="34"/>
      <c r="CV71" s="34"/>
      <c r="CW71" s="34"/>
      <c r="CX71" s="34"/>
      <c r="CY71" s="34"/>
      <c r="CZ71" s="34"/>
      <c r="DA71" s="34"/>
      <c r="DB71" s="34"/>
      <c r="DC71" s="34"/>
      <c r="DD71" s="34"/>
      <c r="DE71" s="34"/>
      <c r="DF71" s="34"/>
      <c r="DG71" s="34"/>
      <c r="DH71" s="34"/>
      <c r="DI71" s="34"/>
      <c r="DJ71" s="34"/>
      <c r="DK71" s="34"/>
      <c r="DL71" s="34"/>
      <c r="DM71" s="34"/>
      <c r="DN71" s="34"/>
      <c r="DO71" s="34"/>
      <c r="DP71" s="34"/>
      <c r="DQ71" s="34"/>
      <c r="DR71" s="34"/>
      <c r="DS71" s="34"/>
      <c r="DT71" s="34"/>
      <c r="DU71" s="34"/>
      <c r="DV71" s="34"/>
      <c r="DW71" s="34"/>
      <c r="DX71" s="34"/>
      <c r="DY71" s="34"/>
      <c r="DZ71" s="34"/>
    </row>
    <row r="72" spans="1:130" x14ac:dyDescent="0.25">
      <c r="A72" s="34"/>
      <c r="B72" s="37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  <c r="CM72" s="34"/>
      <c r="CN72" s="34"/>
      <c r="CO72" s="34"/>
      <c r="CP72" s="34"/>
      <c r="CQ72" s="34"/>
      <c r="CR72" s="34"/>
      <c r="CS72" s="34"/>
      <c r="CT72" s="34"/>
      <c r="CU72" s="34"/>
      <c r="CV72" s="34"/>
      <c r="CW72" s="34"/>
      <c r="CX72" s="34"/>
      <c r="CY72" s="34"/>
      <c r="CZ72" s="34"/>
      <c r="DA72" s="34"/>
      <c r="DB72" s="34"/>
      <c r="DC72" s="34"/>
      <c r="DD72" s="34"/>
      <c r="DE72" s="34"/>
      <c r="DF72" s="34"/>
      <c r="DG72" s="34"/>
      <c r="DH72" s="34"/>
      <c r="DI72" s="34"/>
      <c r="DJ72" s="34"/>
      <c r="DK72" s="34"/>
      <c r="DL72" s="34"/>
      <c r="DM72" s="34"/>
      <c r="DN72" s="34"/>
      <c r="DO72" s="34"/>
      <c r="DP72" s="34"/>
      <c r="DQ72" s="34"/>
      <c r="DR72" s="34"/>
      <c r="DS72" s="34"/>
      <c r="DT72" s="34"/>
      <c r="DU72" s="34"/>
      <c r="DV72" s="34"/>
      <c r="DW72" s="34"/>
      <c r="DX72" s="34"/>
      <c r="DY72" s="34"/>
      <c r="DZ72" s="34"/>
    </row>
    <row r="73" spans="1:130" x14ac:dyDescent="0.25">
      <c r="A73" s="34"/>
      <c r="B73" s="37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  <c r="CO73" s="34"/>
      <c r="CP73" s="34"/>
      <c r="CQ73" s="34"/>
      <c r="CR73" s="34"/>
      <c r="CS73" s="34"/>
      <c r="CT73" s="34"/>
      <c r="CU73" s="34"/>
      <c r="CV73" s="34"/>
      <c r="CW73" s="34"/>
      <c r="CX73" s="34"/>
      <c r="CY73" s="34"/>
      <c r="CZ73" s="34"/>
      <c r="DA73" s="34"/>
      <c r="DB73" s="34"/>
      <c r="DC73" s="34"/>
      <c r="DD73" s="34"/>
      <c r="DE73" s="34"/>
      <c r="DF73" s="34"/>
      <c r="DG73" s="34"/>
      <c r="DH73" s="34"/>
      <c r="DI73" s="34"/>
      <c r="DJ73" s="34"/>
      <c r="DK73" s="34"/>
      <c r="DL73" s="34"/>
      <c r="DM73" s="34"/>
      <c r="DN73" s="34"/>
      <c r="DO73" s="34"/>
      <c r="DP73" s="34"/>
      <c r="DQ73" s="34"/>
      <c r="DR73" s="34"/>
      <c r="DS73" s="34"/>
      <c r="DT73" s="34"/>
      <c r="DU73" s="34"/>
      <c r="DV73" s="34"/>
      <c r="DW73" s="34"/>
      <c r="DX73" s="34"/>
      <c r="DY73" s="34"/>
      <c r="DZ73" s="34"/>
    </row>
    <row r="74" spans="1:130" x14ac:dyDescent="0.25">
      <c r="A74" s="34"/>
      <c r="B74" s="37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  <c r="CN74" s="34"/>
      <c r="CO74" s="34"/>
      <c r="CP74" s="34"/>
      <c r="CQ74" s="34"/>
      <c r="CR74" s="34"/>
      <c r="CS74" s="34"/>
      <c r="CT74" s="34"/>
      <c r="CU74" s="34"/>
      <c r="CV74" s="34"/>
      <c r="CW74" s="34"/>
      <c r="CX74" s="34"/>
      <c r="CY74" s="34"/>
      <c r="CZ74" s="34"/>
      <c r="DA74" s="34"/>
      <c r="DB74" s="34"/>
      <c r="DC74" s="34"/>
      <c r="DD74" s="34"/>
      <c r="DE74" s="34"/>
      <c r="DF74" s="34"/>
      <c r="DG74" s="34"/>
      <c r="DH74" s="34"/>
      <c r="DI74" s="34"/>
      <c r="DJ74" s="34"/>
      <c r="DK74" s="34"/>
      <c r="DL74" s="34"/>
      <c r="DM74" s="34"/>
      <c r="DN74" s="34"/>
      <c r="DO74" s="34"/>
      <c r="DP74" s="34"/>
      <c r="DQ74" s="34"/>
      <c r="DR74" s="34"/>
      <c r="DS74" s="34"/>
      <c r="DT74" s="34"/>
      <c r="DU74" s="34"/>
      <c r="DV74" s="34"/>
      <c r="DW74" s="34"/>
      <c r="DX74" s="34"/>
      <c r="DY74" s="34"/>
      <c r="DZ74" s="34"/>
    </row>
    <row r="75" spans="1:130" x14ac:dyDescent="0.25">
      <c r="A75" s="34"/>
      <c r="B75" s="37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  <c r="CO75" s="34"/>
      <c r="CP75" s="34"/>
      <c r="CQ75" s="34"/>
      <c r="CR75" s="34"/>
      <c r="CS75" s="34"/>
      <c r="CT75" s="34"/>
      <c r="CU75" s="34"/>
      <c r="CV75" s="34"/>
      <c r="CW75" s="34"/>
      <c r="CX75" s="34"/>
      <c r="CY75" s="34"/>
      <c r="CZ75" s="34"/>
      <c r="DA75" s="34"/>
      <c r="DB75" s="34"/>
      <c r="DC75" s="34"/>
      <c r="DD75" s="34"/>
      <c r="DE75" s="34"/>
      <c r="DF75" s="34"/>
      <c r="DG75" s="34"/>
      <c r="DH75" s="34"/>
      <c r="DI75" s="34"/>
      <c r="DJ75" s="34"/>
      <c r="DK75" s="34"/>
      <c r="DL75" s="34"/>
      <c r="DM75" s="34"/>
      <c r="DN75" s="34"/>
      <c r="DO75" s="34"/>
      <c r="DP75" s="34"/>
      <c r="DQ75" s="34"/>
      <c r="DR75" s="34"/>
      <c r="DS75" s="34"/>
      <c r="DT75" s="34"/>
      <c r="DU75" s="34"/>
      <c r="DV75" s="34"/>
      <c r="DW75" s="34"/>
      <c r="DX75" s="34"/>
      <c r="DY75" s="34"/>
      <c r="DZ75" s="34"/>
    </row>
    <row r="76" spans="1:130" x14ac:dyDescent="0.25">
      <c r="A76" s="34"/>
      <c r="B76" s="37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  <c r="CN76" s="34"/>
      <c r="CO76" s="34"/>
      <c r="CP76" s="34"/>
      <c r="CQ76" s="34"/>
      <c r="CR76" s="34"/>
      <c r="CS76" s="34"/>
      <c r="CT76" s="34"/>
      <c r="CU76" s="34"/>
      <c r="CV76" s="34"/>
      <c r="CW76" s="34"/>
      <c r="CX76" s="34"/>
      <c r="CY76" s="34"/>
      <c r="CZ76" s="34"/>
      <c r="DA76" s="34"/>
      <c r="DB76" s="34"/>
      <c r="DC76" s="34"/>
      <c r="DD76" s="34"/>
      <c r="DE76" s="34"/>
      <c r="DF76" s="34"/>
      <c r="DG76" s="34"/>
      <c r="DH76" s="34"/>
      <c r="DI76" s="34"/>
      <c r="DJ76" s="34"/>
      <c r="DK76" s="34"/>
      <c r="DL76" s="34"/>
      <c r="DM76" s="34"/>
      <c r="DN76" s="34"/>
      <c r="DO76" s="34"/>
      <c r="DP76" s="34"/>
      <c r="DQ76" s="34"/>
      <c r="DR76" s="34"/>
      <c r="DS76" s="34"/>
      <c r="DT76" s="34"/>
      <c r="DU76" s="34"/>
      <c r="DV76" s="34"/>
      <c r="DW76" s="34"/>
      <c r="DX76" s="34"/>
      <c r="DY76" s="34"/>
      <c r="DZ76" s="34"/>
    </row>
    <row r="77" spans="1:130" x14ac:dyDescent="0.25">
      <c r="A77" s="34"/>
      <c r="B77" s="37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34"/>
      <c r="CN77" s="34"/>
      <c r="CO77" s="34"/>
      <c r="CP77" s="34"/>
      <c r="CQ77" s="34"/>
      <c r="CR77" s="34"/>
      <c r="CS77" s="34"/>
      <c r="CT77" s="34"/>
      <c r="CU77" s="34"/>
      <c r="CV77" s="34"/>
      <c r="CW77" s="34"/>
      <c r="CX77" s="34"/>
      <c r="CY77" s="34"/>
      <c r="CZ77" s="34"/>
      <c r="DA77" s="34"/>
      <c r="DB77" s="34"/>
      <c r="DC77" s="34"/>
      <c r="DD77" s="34"/>
      <c r="DE77" s="34"/>
      <c r="DF77" s="34"/>
      <c r="DG77" s="34"/>
      <c r="DH77" s="34"/>
      <c r="DI77" s="34"/>
      <c r="DJ77" s="34"/>
      <c r="DK77" s="34"/>
      <c r="DL77" s="34"/>
      <c r="DM77" s="34"/>
      <c r="DN77" s="34"/>
      <c r="DO77" s="34"/>
      <c r="DP77" s="34"/>
      <c r="DQ77" s="34"/>
      <c r="DR77" s="34"/>
      <c r="DS77" s="34"/>
      <c r="DT77" s="34"/>
      <c r="DU77" s="34"/>
      <c r="DV77" s="34"/>
      <c r="DW77" s="34"/>
      <c r="DX77" s="34"/>
      <c r="DY77" s="34"/>
      <c r="DZ77" s="34"/>
    </row>
    <row r="78" spans="1:130" x14ac:dyDescent="0.25">
      <c r="A78" s="34"/>
      <c r="B78" s="37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  <c r="CO78" s="34"/>
      <c r="CP78" s="34"/>
      <c r="CQ78" s="34"/>
      <c r="CR78" s="34"/>
      <c r="CS78" s="34"/>
      <c r="CT78" s="34"/>
      <c r="CU78" s="34"/>
      <c r="CV78" s="34"/>
      <c r="CW78" s="34"/>
      <c r="CX78" s="34"/>
      <c r="CY78" s="34"/>
      <c r="CZ78" s="34"/>
      <c r="DA78" s="34"/>
      <c r="DB78" s="34"/>
      <c r="DC78" s="34"/>
      <c r="DD78" s="34"/>
      <c r="DE78" s="34"/>
      <c r="DF78" s="34"/>
      <c r="DG78" s="34"/>
      <c r="DH78" s="34"/>
      <c r="DI78" s="34"/>
      <c r="DJ78" s="34"/>
      <c r="DK78" s="34"/>
      <c r="DL78" s="34"/>
      <c r="DM78" s="34"/>
      <c r="DN78" s="34"/>
      <c r="DO78" s="34"/>
      <c r="DP78" s="34"/>
      <c r="DQ78" s="34"/>
      <c r="DR78" s="34"/>
      <c r="DS78" s="34"/>
      <c r="DT78" s="34"/>
      <c r="DU78" s="34"/>
      <c r="DV78" s="34"/>
      <c r="DW78" s="34"/>
      <c r="DX78" s="34"/>
      <c r="DY78" s="34"/>
      <c r="DZ78" s="34"/>
    </row>
    <row r="79" spans="1:130" x14ac:dyDescent="0.25">
      <c r="A79" s="34"/>
      <c r="B79" s="37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  <c r="CN79" s="34"/>
      <c r="CO79" s="34"/>
      <c r="CP79" s="34"/>
      <c r="CQ79" s="34"/>
      <c r="CR79" s="34"/>
      <c r="CS79" s="34"/>
      <c r="CT79" s="34"/>
      <c r="CU79" s="34"/>
      <c r="CV79" s="34"/>
      <c r="CW79" s="34"/>
      <c r="CX79" s="34"/>
      <c r="CY79" s="34"/>
      <c r="CZ79" s="34"/>
      <c r="DA79" s="34"/>
      <c r="DB79" s="34"/>
      <c r="DC79" s="34"/>
      <c r="DD79" s="34"/>
      <c r="DE79" s="34"/>
      <c r="DF79" s="34"/>
      <c r="DG79" s="34"/>
      <c r="DH79" s="34"/>
      <c r="DI79" s="34"/>
      <c r="DJ79" s="34"/>
      <c r="DK79" s="34"/>
      <c r="DL79" s="34"/>
      <c r="DM79" s="34"/>
      <c r="DN79" s="34"/>
      <c r="DO79" s="34"/>
      <c r="DP79" s="34"/>
      <c r="DQ79" s="34"/>
      <c r="DR79" s="34"/>
      <c r="DS79" s="34"/>
      <c r="DT79" s="34"/>
      <c r="DU79" s="34"/>
      <c r="DV79" s="34"/>
      <c r="DW79" s="34"/>
      <c r="DX79" s="34"/>
      <c r="DY79" s="34"/>
      <c r="DZ79" s="34"/>
    </row>
    <row r="80" spans="1:130" x14ac:dyDescent="0.25">
      <c r="A80" s="34"/>
      <c r="B80" s="37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  <c r="CO80" s="34"/>
      <c r="CP80" s="34"/>
      <c r="CQ80" s="34"/>
      <c r="CR80" s="34"/>
      <c r="CS80" s="34"/>
      <c r="CT80" s="34"/>
      <c r="CU80" s="34"/>
      <c r="CV80" s="34"/>
      <c r="CW80" s="34"/>
      <c r="CX80" s="34"/>
      <c r="CY80" s="34"/>
      <c r="CZ80" s="34"/>
      <c r="DA80" s="34"/>
      <c r="DB80" s="34"/>
      <c r="DC80" s="34"/>
      <c r="DD80" s="34"/>
      <c r="DE80" s="34"/>
      <c r="DF80" s="34"/>
      <c r="DG80" s="34"/>
      <c r="DH80" s="34"/>
      <c r="DI80" s="34"/>
      <c r="DJ80" s="34"/>
      <c r="DK80" s="34"/>
      <c r="DL80" s="34"/>
      <c r="DM80" s="34"/>
      <c r="DN80" s="34"/>
      <c r="DO80" s="34"/>
      <c r="DP80" s="34"/>
      <c r="DQ80" s="34"/>
      <c r="DR80" s="34"/>
      <c r="DS80" s="34"/>
      <c r="DT80" s="34"/>
      <c r="DU80" s="34"/>
      <c r="DV80" s="34"/>
      <c r="DW80" s="34"/>
      <c r="DX80" s="34"/>
      <c r="DY80" s="34"/>
      <c r="DZ80" s="34"/>
    </row>
    <row r="81" spans="1:130" x14ac:dyDescent="0.25">
      <c r="A81" s="34"/>
      <c r="B81" s="37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  <c r="CO81" s="34"/>
      <c r="CP81" s="34"/>
      <c r="CQ81" s="34"/>
      <c r="CR81" s="34"/>
      <c r="CS81" s="34"/>
      <c r="CT81" s="34"/>
      <c r="CU81" s="34"/>
      <c r="CV81" s="34"/>
      <c r="CW81" s="34"/>
      <c r="CX81" s="34"/>
      <c r="CY81" s="34"/>
      <c r="CZ81" s="34"/>
      <c r="DA81" s="34"/>
      <c r="DB81" s="34"/>
      <c r="DC81" s="34"/>
      <c r="DD81" s="34"/>
      <c r="DE81" s="34"/>
      <c r="DF81" s="34"/>
      <c r="DG81" s="34"/>
      <c r="DH81" s="34"/>
      <c r="DI81" s="34"/>
      <c r="DJ81" s="34"/>
      <c r="DK81" s="34"/>
      <c r="DL81" s="34"/>
      <c r="DM81" s="34"/>
      <c r="DN81" s="34"/>
      <c r="DO81" s="34"/>
      <c r="DP81" s="34"/>
      <c r="DQ81" s="34"/>
      <c r="DR81" s="34"/>
      <c r="DS81" s="34"/>
      <c r="DT81" s="34"/>
      <c r="DU81" s="34"/>
      <c r="DV81" s="34"/>
      <c r="DW81" s="34"/>
      <c r="DX81" s="34"/>
      <c r="DY81" s="34"/>
      <c r="DZ81" s="34"/>
    </row>
    <row r="82" spans="1:130" x14ac:dyDescent="0.25">
      <c r="A82" s="34"/>
      <c r="B82" s="37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  <c r="CM82" s="34"/>
      <c r="CN82" s="34"/>
      <c r="CO82" s="34"/>
      <c r="CP82" s="34"/>
      <c r="CQ82" s="34"/>
      <c r="CR82" s="34"/>
      <c r="CS82" s="34"/>
      <c r="CT82" s="34"/>
      <c r="CU82" s="34"/>
      <c r="CV82" s="34"/>
      <c r="CW82" s="34"/>
      <c r="CX82" s="34"/>
      <c r="CY82" s="34"/>
      <c r="CZ82" s="34"/>
      <c r="DA82" s="34"/>
      <c r="DB82" s="34"/>
      <c r="DC82" s="34"/>
      <c r="DD82" s="34"/>
      <c r="DE82" s="34"/>
      <c r="DF82" s="34"/>
      <c r="DG82" s="34"/>
      <c r="DH82" s="34"/>
      <c r="DI82" s="34"/>
      <c r="DJ82" s="34"/>
      <c r="DK82" s="34"/>
      <c r="DL82" s="34"/>
      <c r="DM82" s="34"/>
      <c r="DN82" s="34"/>
      <c r="DO82" s="34"/>
      <c r="DP82" s="34"/>
      <c r="DQ82" s="34"/>
      <c r="DR82" s="34"/>
      <c r="DS82" s="34"/>
      <c r="DT82" s="34"/>
      <c r="DU82" s="34"/>
      <c r="DV82" s="34"/>
      <c r="DW82" s="34"/>
      <c r="DX82" s="34"/>
      <c r="DY82" s="34"/>
      <c r="DZ82" s="34"/>
    </row>
    <row r="83" spans="1:130" x14ac:dyDescent="0.25">
      <c r="A83" s="34"/>
      <c r="B83" s="37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  <c r="CM83" s="34"/>
      <c r="CN83" s="34"/>
      <c r="CO83" s="34"/>
      <c r="CP83" s="34"/>
      <c r="CQ83" s="34"/>
      <c r="CR83" s="34"/>
      <c r="CS83" s="34"/>
      <c r="CT83" s="34"/>
      <c r="CU83" s="34"/>
      <c r="CV83" s="34"/>
      <c r="CW83" s="34"/>
      <c r="CX83" s="34"/>
      <c r="CY83" s="34"/>
      <c r="CZ83" s="34"/>
      <c r="DA83" s="34"/>
      <c r="DB83" s="34"/>
      <c r="DC83" s="34"/>
      <c r="DD83" s="34"/>
      <c r="DE83" s="34"/>
      <c r="DF83" s="34"/>
      <c r="DG83" s="34"/>
      <c r="DH83" s="34"/>
      <c r="DI83" s="34"/>
      <c r="DJ83" s="34"/>
      <c r="DK83" s="34"/>
      <c r="DL83" s="34"/>
      <c r="DM83" s="34"/>
      <c r="DN83" s="34"/>
      <c r="DO83" s="34"/>
      <c r="DP83" s="34"/>
      <c r="DQ83" s="34"/>
      <c r="DR83" s="34"/>
      <c r="DS83" s="34"/>
      <c r="DT83" s="34"/>
      <c r="DU83" s="34"/>
      <c r="DV83" s="34"/>
      <c r="DW83" s="34"/>
      <c r="DX83" s="34"/>
      <c r="DY83" s="34"/>
      <c r="DZ83" s="34"/>
    </row>
    <row r="84" spans="1:130" x14ac:dyDescent="0.25">
      <c r="A84" s="34"/>
      <c r="B84" s="37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34"/>
      <c r="CN84" s="34"/>
      <c r="CO84" s="34"/>
      <c r="CP84" s="34"/>
      <c r="CQ84" s="34"/>
      <c r="CR84" s="34"/>
      <c r="CS84" s="34"/>
      <c r="CT84" s="34"/>
      <c r="CU84" s="34"/>
      <c r="CV84" s="34"/>
      <c r="CW84" s="34"/>
      <c r="CX84" s="34"/>
      <c r="CY84" s="34"/>
      <c r="CZ84" s="34"/>
      <c r="DA84" s="34"/>
      <c r="DB84" s="34"/>
      <c r="DC84" s="34"/>
      <c r="DD84" s="34"/>
      <c r="DE84" s="34"/>
      <c r="DF84" s="34"/>
      <c r="DG84" s="34"/>
      <c r="DH84" s="34"/>
      <c r="DI84" s="34"/>
      <c r="DJ84" s="34"/>
      <c r="DK84" s="34"/>
      <c r="DL84" s="34"/>
      <c r="DM84" s="34"/>
      <c r="DN84" s="34"/>
      <c r="DO84" s="34"/>
      <c r="DP84" s="34"/>
      <c r="DQ84" s="34"/>
      <c r="DR84" s="34"/>
      <c r="DS84" s="34"/>
      <c r="DT84" s="34"/>
      <c r="DU84" s="34"/>
      <c r="DV84" s="34"/>
      <c r="DW84" s="34"/>
      <c r="DX84" s="34"/>
      <c r="DY84" s="34"/>
      <c r="DZ84" s="34"/>
    </row>
    <row r="85" spans="1:130" x14ac:dyDescent="0.25">
      <c r="A85" s="34"/>
      <c r="B85" s="37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  <c r="CO85" s="34"/>
      <c r="CP85" s="34"/>
      <c r="CQ85" s="34"/>
      <c r="CR85" s="34"/>
      <c r="CS85" s="34"/>
      <c r="CT85" s="34"/>
      <c r="CU85" s="34"/>
      <c r="CV85" s="34"/>
      <c r="CW85" s="34"/>
      <c r="CX85" s="34"/>
      <c r="CY85" s="34"/>
      <c r="CZ85" s="34"/>
      <c r="DA85" s="34"/>
      <c r="DB85" s="34"/>
      <c r="DC85" s="34"/>
      <c r="DD85" s="34"/>
      <c r="DE85" s="34"/>
      <c r="DF85" s="34"/>
      <c r="DG85" s="34"/>
      <c r="DH85" s="34"/>
      <c r="DI85" s="34"/>
      <c r="DJ85" s="34"/>
      <c r="DK85" s="34"/>
      <c r="DL85" s="34"/>
      <c r="DM85" s="34"/>
      <c r="DN85" s="34"/>
      <c r="DO85" s="34"/>
      <c r="DP85" s="34"/>
      <c r="DQ85" s="34"/>
      <c r="DR85" s="34"/>
      <c r="DS85" s="34"/>
      <c r="DT85" s="34"/>
      <c r="DU85" s="34"/>
      <c r="DV85" s="34"/>
      <c r="DW85" s="34"/>
      <c r="DX85" s="34"/>
      <c r="DY85" s="34"/>
      <c r="DZ85" s="34"/>
    </row>
    <row r="86" spans="1:130" x14ac:dyDescent="0.25">
      <c r="A86" s="34"/>
      <c r="B86" s="37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  <c r="CO86" s="34"/>
      <c r="CP86" s="34"/>
      <c r="CQ86" s="34"/>
      <c r="CR86" s="34"/>
      <c r="CS86" s="34"/>
      <c r="CT86" s="34"/>
      <c r="CU86" s="34"/>
      <c r="CV86" s="34"/>
      <c r="CW86" s="34"/>
      <c r="CX86" s="34"/>
      <c r="CY86" s="34"/>
      <c r="CZ86" s="34"/>
      <c r="DA86" s="34"/>
      <c r="DB86" s="34"/>
      <c r="DC86" s="34"/>
      <c r="DD86" s="34"/>
      <c r="DE86" s="34"/>
      <c r="DF86" s="34"/>
      <c r="DG86" s="34"/>
      <c r="DH86" s="34"/>
      <c r="DI86" s="34"/>
      <c r="DJ86" s="34"/>
      <c r="DK86" s="34"/>
      <c r="DL86" s="34"/>
      <c r="DM86" s="34"/>
      <c r="DN86" s="34"/>
      <c r="DO86" s="34"/>
      <c r="DP86" s="34"/>
      <c r="DQ86" s="34"/>
      <c r="DR86" s="34"/>
      <c r="DS86" s="34"/>
      <c r="DT86" s="34"/>
      <c r="DU86" s="34"/>
      <c r="DV86" s="34"/>
      <c r="DW86" s="34"/>
      <c r="DX86" s="34"/>
      <c r="DY86" s="34"/>
      <c r="DZ86" s="34"/>
    </row>
    <row r="87" spans="1:130" x14ac:dyDescent="0.25">
      <c r="A87" s="34"/>
      <c r="B87" s="37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  <c r="CO87" s="34"/>
      <c r="CP87" s="34"/>
      <c r="CQ87" s="34"/>
      <c r="CR87" s="34"/>
      <c r="CS87" s="34"/>
      <c r="CT87" s="34"/>
      <c r="CU87" s="34"/>
      <c r="CV87" s="34"/>
      <c r="CW87" s="34"/>
      <c r="CX87" s="34"/>
      <c r="CY87" s="34"/>
      <c r="CZ87" s="34"/>
      <c r="DA87" s="34"/>
      <c r="DB87" s="34"/>
      <c r="DC87" s="34"/>
      <c r="DD87" s="34"/>
      <c r="DE87" s="34"/>
      <c r="DF87" s="34"/>
      <c r="DG87" s="34"/>
      <c r="DH87" s="34"/>
      <c r="DI87" s="34"/>
      <c r="DJ87" s="34"/>
      <c r="DK87" s="34"/>
      <c r="DL87" s="34"/>
      <c r="DM87" s="34"/>
      <c r="DN87" s="34"/>
      <c r="DO87" s="34"/>
      <c r="DP87" s="34"/>
      <c r="DQ87" s="34"/>
      <c r="DR87" s="34"/>
      <c r="DS87" s="34"/>
      <c r="DT87" s="34"/>
      <c r="DU87" s="34"/>
      <c r="DV87" s="34"/>
      <c r="DW87" s="34"/>
      <c r="DX87" s="34"/>
      <c r="DY87" s="34"/>
      <c r="DZ87" s="34"/>
    </row>
    <row r="88" spans="1:130" x14ac:dyDescent="0.25">
      <c r="A88" s="34"/>
      <c r="B88" s="37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  <c r="CO88" s="34"/>
      <c r="CP88" s="34"/>
      <c r="CQ88" s="34"/>
      <c r="CR88" s="34"/>
      <c r="CS88" s="34"/>
      <c r="CT88" s="34"/>
      <c r="CU88" s="34"/>
      <c r="CV88" s="34"/>
      <c r="CW88" s="34"/>
      <c r="CX88" s="34"/>
      <c r="CY88" s="34"/>
      <c r="CZ88" s="34"/>
      <c r="DA88" s="34"/>
      <c r="DB88" s="34"/>
      <c r="DC88" s="34"/>
      <c r="DD88" s="34"/>
      <c r="DE88" s="34"/>
      <c r="DF88" s="34"/>
      <c r="DG88" s="34"/>
      <c r="DH88" s="34"/>
      <c r="DI88" s="34"/>
      <c r="DJ88" s="34"/>
      <c r="DK88" s="34"/>
      <c r="DL88" s="34"/>
      <c r="DM88" s="34"/>
      <c r="DN88" s="34"/>
      <c r="DO88" s="34"/>
      <c r="DP88" s="34"/>
      <c r="DQ88" s="34"/>
      <c r="DR88" s="34"/>
      <c r="DS88" s="34"/>
      <c r="DT88" s="34"/>
      <c r="DU88" s="34"/>
      <c r="DV88" s="34"/>
      <c r="DW88" s="34"/>
      <c r="DX88" s="34"/>
      <c r="DY88" s="34"/>
      <c r="DZ88" s="34"/>
    </row>
    <row r="89" spans="1:130" x14ac:dyDescent="0.25">
      <c r="A89" s="34"/>
      <c r="B89" s="37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  <c r="CO89" s="34"/>
      <c r="CP89" s="34"/>
      <c r="CQ89" s="34"/>
      <c r="CR89" s="34"/>
      <c r="CS89" s="34"/>
      <c r="CT89" s="34"/>
      <c r="CU89" s="34"/>
      <c r="CV89" s="34"/>
      <c r="CW89" s="34"/>
      <c r="CX89" s="34"/>
      <c r="CY89" s="34"/>
      <c r="CZ89" s="34"/>
      <c r="DA89" s="34"/>
      <c r="DB89" s="34"/>
      <c r="DC89" s="34"/>
      <c r="DD89" s="34"/>
      <c r="DE89" s="34"/>
      <c r="DF89" s="34"/>
      <c r="DG89" s="34"/>
      <c r="DH89" s="34"/>
      <c r="DI89" s="34"/>
      <c r="DJ89" s="34"/>
      <c r="DK89" s="34"/>
      <c r="DL89" s="34"/>
      <c r="DM89" s="34"/>
      <c r="DN89" s="34"/>
      <c r="DO89" s="34"/>
      <c r="DP89" s="34"/>
      <c r="DQ89" s="34"/>
      <c r="DR89" s="34"/>
      <c r="DS89" s="34"/>
      <c r="DT89" s="34"/>
      <c r="DU89" s="34"/>
      <c r="DV89" s="34"/>
      <c r="DW89" s="34"/>
      <c r="DX89" s="34"/>
      <c r="DY89" s="34"/>
      <c r="DZ89" s="34"/>
    </row>
    <row r="90" spans="1:130" x14ac:dyDescent="0.25">
      <c r="A90" s="34"/>
      <c r="B90" s="37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  <c r="CO90" s="34"/>
      <c r="CP90" s="34"/>
      <c r="CQ90" s="34"/>
      <c r="CR90" s="34"/>
      <c r="CS90" s="34"/>
      <c r="CT90" s="34"/>
      <c r="CU90" s="34"/>
      <c r="CV90" s="34"/>
      <c r="CW90" s="34"/>
      <c r="CX90" s="34"/>
      <c r="CY90" s="34"/>
      <c r="CZ90" s="34"/>
      <c r="DA90" s="34"/>
      <c r="DB90" s="34"/>
      <c r="DC90" s="34"/>
      <c r="DD90" s="34"/>
      <c r="DE90" s="34"/>
      <c r="DF90" s="34"/>
      <c r="DG90" s="34"/>
      <c r="DH90" s="34"/>
      <c r="DI90" s="34"/>
      <c r="DJ90" s="34"/>
      <c r="DK90" s="34"/>
      <c r="DL90" s="34"/>
      <c r="DM90" s="34"/>
      <c r="DN90" s="34"/>
      <c r="DO90" s="34"/>
      <c r="DP90" s="34"/>
      <c r="DQ90" s="34"/>
      <c r="DR90" s="34"/>
      <c r="DS90" s="34"/>
      <c r="DT90" s="34"/>
      <c r="DU90" s="34"/>
      <c r="DV90" s="34"/>
      <c r="DW90" s="34"/>
      <c r="DX90" s="34"/>
      <c r="DY90" s="34"/>
      <c r="DZ90" s="34"/>
    </row>
    <row r="91" spans="1:130" x14ac:dyDescent="0.25">
      <c r="A91" s="34"/>
      <c r="B91" s="37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34"/>
      <c r="CN91" s="34"/>
      <c r="CO91" s="34"/>
      <c r="CP91" s="34"/>
      <c r="CQ91" s="34"/>
      <c r="CR91" s="34"/>
      <c r="CS91" s="34"/>
      <c r="CT91" s="34"/>
      <c r="CU91" s="34"/>
      <c r="CV91" s="34"/>
      <c r="CW91" s="34"/>
      <c r="CX91" s="34"/>
      <c r="CY91" s="34"/>
      <c r="CZ91" s="34"/>
      <c r="DA91" s="34"/>
      <c r="DB91" s="34"/>
      <c r="DC91" s="34"/>
      <c r="DD91" s="34"/>
      <c r="DE91" s="34"/>
      <c r="DF91" s="34"/>
      <c r="DG91" s="34"/>
      <c r="DH91" s="34"/>
      <c r="DI91" s="34"/>
      <c r="DJ91" s="34"/>
      <c r="DK91" s="34"/>
      <c r="DL91" s="34"/>
      <c r="DM91" s="34"/>
      <c r="DN91" s="34"/>
      <c r="DO91" s="34"/>
      <c r="DP91" s="34"/>
      <c r="DQ91" s="34"/>
      <c r="DR91" s="34"/>
      <c r="DS91" s="34"/>
      <c r="DT91" s="34"/>
      <c r="DU91" s="34"/>
      <c r="DV91" s="34"/>
      <c r="DW91" s="34"/>
      <c r="DX91" s="34"/>
      <c r="DY91" s="34"/>
      <c r="DZ91" s="34"/>
    </row>
    <row r="92" spans="1:130" x14ac:dyDescent="0.25">
      <c r="A92" s="34"/>
      <c r="B92" s="37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  <c r="CO92" s="34"/>
      <c r="CP92" s="34"/>
      <c r="CQ92" s="34"/>
      <c r="CR92" s="34"/>
      <c r="CS92" s="34"/>
      <c r="CT92" s="34"/>
      <c r="CU92" s="34"/>
      <c r="CV92" s="34"/>
      <c r="CW92" s="34"/>
      <c r="CX92" s="34"/>
      <c r="CY92" s="34"/>
      <c r="CZ92" s="34"/>
      <c r="DA92" s="34"/>
      <c r="DB92" s="34"/>
      <c r="DC92" s="34"/>
      <c r="DD92" s="34"/>
      <c r="DE92" s="34"/>
      <c r="DF92" s="34"/>
      <c r="DG92" s="34"/>
      <c r="DH92" s="34"/>
      <c r="DI92" s="34"/>
      <c r="DJ92" s="34"/>
      <c r="DK92" s="34"/>
      <c r="DL92" s="34"/>
      <c r="DM92" s="34"/>
      <c r="DN92" s="34"/>
      <c r="DO92" s="34"/>
      <c r="DP92" s="34"/>
      <c r="DQ92" s="34"/>
      <c r="DR92" s="34"/>
      <c r="DS92" s="34"/>
      <c r="DT92" s="34"/>
      <c r="DU92" s="34"/>
      <c r="DV92" s="34"/>
      <c r="DW92" s="34"/>
      <c r="DX92" s="34"/>
      <c r="DY92" s="34"/>
      <c r="DZ92" s="34"/>
    </row>
    <row r="93" spans="1:130" x14ac:dyDescent="0.25">
      <c r="A93" s="34"/>
      <c r="B93" s="37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  <c r="CN93" s="34"/>
      <c r="CO93" s="34"/>
      <c r="CP93" s="34"/>
      <c r="CQ93" s="34"/>
      <c r="CR93" s="34"/>
      <c r="CS93" s="34"/>
      <c r="CT93" s="34"/>
      <c r="CU93" s="34"/>
      <c r="CV93" s="34"/>
      <c r="CW93" s="34"/>
      <c r="CX93" s="34"/>
      <c r="CY93" s="34"/>
      <c r="CZ93" s="34"/>
      <c r="DA93" s="34"/>
      <c r="DB93" s="34"/>
      <c r="DC93" s="34"/>
      <c r="DD93" s="34"/>
      <c r="DE93" s="34"/>
      <c r="DF93" s="34"/>
      <c r="DG93" s="34"/>
      <c r="DH93" s="34"/>
      <c r="DI93" s="34"/>
      <c r="DJ93" s="34"/>
      <c r="DK93" s="34"/>
      <c r="DL93" s="34"/>
      <c r="DM93" s="34"/>
      <c r="DN93" s="34"/>
      <c r="DO93" s="34"/>
      <c r="DP93" s="34"/>
      <c r="DQ93" s="34"/>
      <c r="DR93" s="34"/>
      <c r="DS93" s="34"/>
      <c r="DT93" s="34"/>
      <c r="DU93" s="34"/>
      <c r="DV93" s="34"/>
      <c r="DW93" s="34"/>
      <c r="DX93" s="34"/>
      <c r="DY93" s="34"/>
      <c r="DZ93" s="34"/>
    </row>
    <row r="94" spans="1:130" x14ac:dyDescent="0.25">
      <c r="A94" s="34"/>
      <c r="B94" s="37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  <c r="CO94" s="34"/>
      <c r="CP94" s="34"/>
      <c r="CQ94" s="34"/>
      <c r="CR94" s="34"/>
      <c r="CS94" s="34"/>
      <c r="CT94" s="34"/>
      <c r="CU94" s="34"/>
      <c r="CV94" s="34"/>
      <c r="CW94" s="34"/>
      <c r="CX94" s="34"/>
      <c r="CY94" s="34"/>
      <c r="CZ94" s="34"/>
      <c r="DA94" s="34"/>
      <c r="DB94" s="34"/>
      <c r="DC94" s="34"/>
      <c r="DD94" s="34"/>
      <c r="DE94" s="34"/>
      <c r="DF94" s="34"/>
      <c r="DG94" s="34"/>
      <c r="DH94" s="34"/>
      <c r="DI94" s="34"/>
      <c r="DJ94" s="34"/>
      <c r="DK94" s="34"/>
      <c r="DL94" s="34"/>
      <c r="DM94" s="34"/>
      <c r="DN94" s="34"/>
      <c r="DO94" s="34"/>
      <c r="DP94" s="34"/>
      <c r="DQ94" s="34"/>
      <c r="DR94" s="34"/>
      <c r="DS94" s="34"/>
      <c r="DT94" s="34"/>
      <c r="DU94" s="34"/>
      <c r="DV94" s="34"/>
      <c r="DW94" s="34"/>
      <c r="DX94" s="34"/>
      <c r="DY94" s="34"/>
      <c r="DZ94" s="34"/>
    </row>
    <row r="95" spans="1:130" x14ac:dyDescent="0.25">
      <c r="A95" s="34"/>
      <c r="B95" s="37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34"/>
      <c r="CN95" s="34"/>
      <c r="CO95" s="34"/>
      <c r="CP95" s="34"/>
      <c r="CQ95" s="34"/>
      <c r="CR95" s="34"/>
      <c r="CS95" s="34"/>
      <c r="CT95" s="34"/>
      <c r="CU95" s="34"/>
      <c r="CV95" s="34"/>
      <c r="CW95" s="34"/>
      <c r="CX95" s="34"/>
      <c r="CY95" s="34"/>
      <c r="CZ95" s="34"/>
      <c r="DA95" s="34"/>
      <c r="DB95" s="34"/>
      <c r="DC95" s="34"/>
      <c r="DD95" s="34"/>
      <c r="DE95" s="34"/>
      <c r="DF95" s="34"/>
      <c r="DG95" s="34"/>
      <c r="DH95" s="34"/>
      <c r="DI95" s="34"/>
      <c r="DJ95" s="34"/>
      <c r="DK95" s="34"/>
      <c r="DL95" s="34"/>
      <c r="DM95" s="34"/>
      <c r="DN95" s="34"/>
      <c r="DO95" s="34"/>
      <c r="DP95" s="34"/>
      <c r="DQ95" s="34"/>
      <c r="DR95" s="34"/>
      <c r="DS95" s="34"/>
      <c r="DT95" s="34"/>
      <c r="DU95" s="34"/>
      <c r="DV95" s="34"/>
      <c r="DW95" s="34"/>
      <c r="DX95" s="34"/>
      <c r="DY95" s="34"/>
      <c r="DZ95" s="34"/>
    </row>
    <row r="96" spans="1:130" x14ac:dyDescent="0.25">
      <c r="A96" s="34"/>
      <c r="B96" s="37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  <c r="CO96" s="34"/>
      <c r="CP96" s="34"/>
      <c r="CQ96" s="34"/>
      <c r="CR96" s="34"/>
      <c r="CS96" s="34"/>
      <c r="CT96" s="34"/>
      <c r="CU96" s="34"/>
      <c r="CV96" s="34"/>
      <c r="CW96" s="34"/>
      <c r="CX96" s="34"/>
      <c r="CY96" s="34"/>
      <c r="CZ96" s="34"/>
      <c r="DA96" s="34"/>
      <c r="DB96" s="34"/>
      <c r="DC96" s="34"/>
      <c r="DD96" s="34"/>
      <c r="DE96" s="34"/>
      <c r="DF96" s="34"/>
      <c r="DG96" s="34"/>
      <c r="DH96" s="34"/>
      <c r="DI96" s="34"/>
      <c r="DJ96" s="34"/>
      <c r="DK96" s="34"/>
      <c r="DL96" s="34"/>
      <c r="DM96" s="34"/>
      <c r="DN96" s="34"/>
      <c r="DO96" s="34"/>
      <c r="DP96" s="34"/>
      <c r="DQ96" s="34"/>
      <c r="DR96" s="34"/>
      <c r="DS96" s="34"/>
      <c r="DT96" s="34"/>
      <c r="DU96" s="34"/>
      <c r="DV96" s="34"/>
      <c r="DW96" s="34"/>
      <c r="DX96" s="34"/>
      <c r="DY96" s="34"/>
      <c r="DZ96" s="34"/>
    </row>
    <row r="97" spans="1:130" x14ac:dyDescent="0.25">
      <c r="A97" s="34"/>
      <c r="B97" s="37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  <c r="CO97" s="34"/>
      <c r="CP97" s="34"/>
      <c r="CQ97" s="34"/>
      <c r="CR97" s="34"/>
      <c r="CS97" s="34"/>
      <c r="CT97" s="34"/>
      <c r="CU97" s="34"/>
      <c r="CV97" s="34"/>
      <c r="CW97" s="34"/>
      <c r="CX97" s="34"/>
      <c r="CY97" s="34"/>
      <c r="CZ97" s="34"/>
      <c r="DA97" s="34"/>
      <c r="DB97" s="34"/>
      <c r="DC97" s="34"/>
      <c r="DD97" s="34"/>
      <c r="DE97" s="34"/>
      <c r="DF97" s="34"/>
      <c r="DG97" s="34"/>
      <c r="DH97" s="34"/>
      <c r="DI97" s="34"/>
      <c r="DJ97" s="34"/>
      <c r="DK97" s="34"/>
      <c r="DL97" s="34"/>
      <c r="DM97" s="34"/>
      <c r="DN97" s="34"/>
      <c r="DO97" s="34"/>
      <c r="DP97" s="34"/>
      <c r="DQ97" s="34"/>
      <c r="DR97" s="34"/>
      <c r="DS97" s="34"/>
      <c r="DT97" s="34"/>
      <c r="DU97" s="34"/>
      <c r="DV97" s="34"/>
      <c r="DW97" s="34"/>
      <c r="DX97" s="34"/>
      <c r="DY97" s="34"/>
      <c r="DZ97" s="34"/>
    </row>
    <row r="98" spans="1:130" x14ac:dyDescent="0.25">
      <c r="A98" s="34"/>
      <c r="B98" s="37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  <c r="CO98" s="34"/>
      <c r="CP98" s="34"/>
      <c r="CQ98" s="34"/>
      <c r="CR98" s="34"/>
      <c r="CS98" s="34"/>
      <c r="CT98" s="34"/>
      <c r="CU98" s="34"/>
      <c r="CV98" s="34"/>
      <c r="CW98" s="34"/>
      <c r="CX98" s="34"/>
      <c r="CY98" s="34"/>
      <c r="CZ98" s="34"/>
      <c r="DA98" s="34"/>
      <c r="DB98" s="34"/>
      <c r="DC98" s="34"/>
      <c r="DD98" s="34"/>
      <c r="DE98" s="34"/>
      <c r="DF98" s="34"/>
      <c r="DG98" s="34"/>
      <c r="DH98" s="34"/>
      <c r="DI98" s="34"/>
      <c r="DJ98" s="34"/>
      <c r="DK98" s="34"/>
      <c r="DL98" s="34"/>
      <c r="DM98" s="34"/>
      <c r="DN98" s="34"/>
      <c r="DO98" s="34"/>
      <c r="DP98" s="34"/>
      <c r="DQ98" s="34"/>
      <c r="DR98" s="34"/>
      <c r="DS98" s="34"/>
      <c r="DT98" s="34"/>
      <c r="DU98" s="34"/>
      <c r="DV98" s="34"/>
      <c r="DW98" s="34"/>
      <c r="DX98" s="34"/>
      <c r="DY98" s="34"/>
      <c r="DZ98" s="34"/>
    </row>
    <row r="99" spans="1:130" x14ac:dyDescent="0.25">
      <c r="A99" s="34"/>
      <c r="B99" s="37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  <c r="CO99" s="34"/>
      <c r="CP99" s="34"/>
      <c r="CQ99" s="34"/>
      <c r="CR99" s="34"/>
      <c r="CS99" s="34"/>
      <c r="CT99" s="34"/>
      <c r="CU99" s="34"/>
      <c r="CV99" s="34"/>
      <c r="CW99" s="34"/>
      <c r="CX99" s="34"/>
      <c r="CY99" s="34"/>
      <c r="CZ99" s="34"/>
      <c r="DA99" s="34"/>
      <c r="DB99" s="34"/>
      <c r="DC99" s="34"/>
      <c r="DD99" s="34"/>
      <c r="DE99" s="34"/>
      <c r="DF99" s="34"/>
      <c r="DG99" s="34"/>
      <c r="DH99" s="34"/>
      <c r="DI99" s="34"/>
      <c r="DJ99" s="34"/>
      <c r="DK99" s="34"/>
      <c r="DL99" s="34"/>
      <c r="DM99" s="34"/>
      <c r="DN99" s="34"/>
      <c r="DO99" s="34"/>
      <c r="DP99" s="34"/>
      <c r="DQ99" s="34"/>
      <c r="DR99" s="34"/>
      <c r="DS99" s="34"/>
      <c r="DT99" s="34"/>
      <c r="DU99" s="34"/>
      <c r="DV99" s="34"/>
      <c r="DW99" s="34"/>
      <c r="DX99" s="34"/>
      <c r="DY99" s="34"/>
      <c r="DZ99" s="34"/>
    </row>
    <row r="100" spans="1:130" x14ac:dyDescent="0.25">
      <c r="A100" s="34"/>
      <c r="B100" s="37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34"/>
      <c r="CN100" s="34"/>
      <c r="CO100" s="34"/>
      <c r="CP100" s="34"/>
      <c r="CQ100" s="34"/>
      <c r="CR100" s="34"/>
      <c r="CS100" s="34"/>
      <c r="CT100" s="34"/>
      <c r="CU100" s="34"/>
      <c r="CV100" s="34"/>
      <c r="CW100" s="34"/>
      <c r="CX100" s="34"/>
      <c r="CY100" s="34"/>
      <c r="CZ100" s="34"/>
      <c r="DA100" s="34"/>
      <c r="DB100" s="34"/>
      <c r="DC100" s="34"/>
      <c r="DD100" s="34"/>
      <c r="DE100" s="34"/>
      <c r="DF100" s="34"/>
      <c r="DG100" s="34"/>
      <c r="DH100" s="34"/>
      <c r="DI100" s="34"/>
      <c r="DJ100" s="34"/>
      <c r="DK100" s="34"/>
      <c r="DL100" s="34"/>
      <c r="DM100" s="34"/>
      <c r="DN100" s="34"/>
      <c r="DO100" s="34"/>
      <c r="DP100" s="34"/>
      <c r="DQ100" s="34"/>
      <c r="DR100" s="34"/>
      <c r="DS100" s="34"/>
      <c r="DT100" s="34"/>
      <c r="DU100" s="34"/>
      <c r="DV100" s="34"/>
      <c r="DW100" s="34"/>
      <c r="DX100" s="34"/>
      <c r="DY100" s="34"/>
      <c r="DZ100" s="34"/>
    </row>
    <row r="101" spans="1:130" x14ac:dyDescent="0.25">
      <c r="A101" s="34"/>
      <c r="B101" s="37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  <c r="CO101" s="34"/>
      <c r="CP101" s="34"/>
      <c r="CQ101" s="34"/>
      <c r="CR101" s="34"/>
      <c r="CS101" s="34"/>
      <c r="CT101" s="34"/>
      <c r="CU101" s="34"/>
      <c r="CV101" s="34"/>
      <c r="CW101" s="34"/>
      <c r="CX101" s="34"/>
      <c r="CY101" s="34"/>
      <c r="CZ101" s="34"/>
      <c r="DA101" s="34"/>
      <c r="DB101" s="34"/>
      <c r="DC101" s="34"/>
      <c r="DD101" s="34"/>
      <c r="DE101" s="34"/>
      <c r="DF101" s="34"/>
      <c r="DG101" s="34"/>
      <c r="DH101" s="34"/>
      <c r="DI101" s="34"/>
      <c r="DJ101" s="34"/>
      <c r="DK101" s="34"/>
      <c r="DL101" s="34"/>
      <c r="DM101" s="34"/>
      <c r="DN101" s="34"/>
      <c r="DO101" s="34"/>
      <c r="DP101" s="34"/>
      <c r="DQ101" s="34"/>
      <c r="DR101" s="34"/>
      <c r="DS101" s="34"/>
      <c r="DT101" s="34"/>
      <c r="DU101" s="34"/>
      <c r="DV101" s="34"/>
      <c r="DW101" s="34"/>
      <c r="DX101" s="34"/>
      <c r="DY101" s="34"/>
      <c r="DZ101" s="34"/>
    </row>
    <row r="102" spans="1:130" x14ac:dyDescent="0.25">
      <c r="A102" s="34"/>
      <c r="B102" s="37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  <c r="CH102" s="34"/>
      <c r="CI102" s="34"/>
      <c r="CJ102" s="34"/>
      <c r="CK102" s="34"/>
      <c r="CL102" s="34"/>
      <c r="CM102" s="34"/>
      <c r="CN102" s="34"/>
      <c r="CO102" s="34"/>
      <c r="CP102" s="34"/>
      <c r="CQ102" s="34"/>
      <c r="CR102" s="34"/>
      <c r="CS102" s="34"/>
      <c r="CT102" s="34"/>
      <c r="CU102" s="34"/>
      <c r="CV102" s="34"/>
      <c r="CW102" s="34"/>
      <c r="CX102" s="34"/>
      <c r="CY102" s="34"/>
      <c r="CZ102" s="34"/>
      <c r="DA102" s="34"/>
      <c r="DB102" s="34"/>
      <c r="DC102" s="34"/>
      <c r="DD102" s="34"/>
      <c r="DE102" s="34"/>
      <c r="DF102" s="34"/>
      <c r="DG102" s="34"/>
      <c r="DH102" s="34"/>
      <c r="DI102" s="34"/>
      <c r="DJ102" s="34"/>
      <c r="DK102" s="34"/>
      <c r="DL102" s="34"/>
      <c r="DM102" s="34"/>
      <c r="DN102" s="34"/>
      <c r="DO102" s="34"/>
      <c r="DP102" s="34"/>
      <c r="DQ102" s="34"/>
      <c r="DR102" s="34"/>
      <c r="DS102" s="34"/>
      <c r="DT102" s="34"/>
      <c r="DU102" s="34"/>
      <c r="DV102" s="34"/>
      <c r="DW102" s="34"/>
      <c r="DX102" s="34"/>
      <c r="DY102" s="34"/>
      <c r="DZ102" s="34"/>
    </row>
    <row r="103" spans="1:130" x14ac:dyDescent="0.25">
      <c r="A103" s="34"/>
      <c r="B103" s="37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4"/>
      <c r="CL103" s="34"/>
      <c r="CM103" s="34"/>
      <c r="CN103" s="34"/>
      <c r="CO103" s="34"/>
      <c r="CP103" s="34"/>
      <c r="CQ103" s="34"/>
      <c r="CR103" s="34"/>
      <c r="CS103" s="34"/>
      <c r="CT103" s="34"/>
      <c r="CU103" s="34"/>
      <c r="CV103" s="34"/>
      <c r="CW103" s="34"/>
      <c r="CX103" s="34"/>
      <c r="CY103" s="34"/>
      <c r="CZ103" s="34"/>
      <c r="DA103" s="34"/>
      <c r="DB103" s="34"/>
      <c r="DC103" s="34"/>
      <c r="DD103" s="34"/>
      <c r="DE103" s="34"/>
      <c r="DF103" s="34"/>
      <c r="DG103" s="34"/>
      <c r="DH103" s="34"/>
      <c r="DI103" s="34"/>
      <c r="DJ103" s="34"/>
      <c r="DK103" s="34"/>
      <c r="DL103" s="34"/>
      <c r="DM103" s="34"/>
      <c r="DN103" s="34"/>
      <c r="DO103" s="34"/>
      <c r="DP103" s="34"/>
      <c r="DQ103" s="34"/>
      <c r="DR103" s="34"/>
      <c r="DS103" s="34"/>
      <c r="DT103" s="34"/>
      <c r="DU103" s="34"/>
      <c r="DV103" s="34"/>
      <c r="DW103" s="34"/>
      <c r="DX103" s="34"/>
      <c r="DY103" s="34"/>
      <c r="DZ103" s="34"/>
    </row>
    <row r="104" spans="1:130" x14ac:dyDescent="0.25">
      <c r="A104" s="34"/>
      <c r="B104" s="37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  <c r="CM104" s="34"/>
      <c r="CN104" s="34"/>
      <c r="CO104" s="34"/>
      <c r="CP104" s="34"/>
      <c r="CQ104" s="34"/>
      <c r="CR104" s="34"/>
      <c r="CS104" s="34"/>
      <c r="CT104" s="34"/>
      <c r="CU104" s="34"/>
      <c r="CV104" s="34"/>
      <c r="CW104" s="34"/>
      <c r="CX104" s="34"/>
      <c r="CY104" s="34"/>
      <c r="CZ104" s="34"/>
      <c r="DA104" s="34"/>
      <c r="DB104" s="34"/>
      <c r="DC104" s="34"/>
      <c r="DD104" s="34"/>
      <c r="DE104" s="34"/>
      <c r="DF104" s="34"/>
      <c r="DG104" s="34"/>
      <c r="DH104" s="34"/>
      <c r="DI104" s="34"/>
      <c r="DJ104" s="34"/>
      <c r="DK104" s="34"/>
      <c r="DL104" s="34"/>
      <c r="DM104" s="34"/>
      <c r="DN104" s="34"/>
      <c r="DO104" s="34"/>
      <c r="DP104" s="34"/>
      <c r="DQ104" s="34"/>
      <c r="DR104" s="34"/>
      <c r="DS104" s="34"/>
      <c r="DT104" s="34"/>
      <c r="DU104" s="34"/>
      <c r="DV104" s="34"/>
      <c r="DW104" s="34"/>
      <c r="DX104" s="34"/>
      <c r="DY104" s="34"/>
      <c r="DZ104" s="34"/>
    </row>
    <row r="105" spans="1:130" x14ac:dyDescent="0.25">
      <c r="A105" s="34"/>
      <c r="B105" s="37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  <c r="CO105" s="34"/>
      <c r="CP105" s="34"/>
      <c r="CQ105" s="34"/>
      <c r="CR105" s="34"/>
      <c r="CS105" s="34"/>
      <c r="CT105" s="34"/>
      <c r="CU105" s="34"/>
      <c r="CV105" s="34"/>
      <c r="CW105" s="34"/>
      <c r="CX105" s="34"/>
      <c r="CY105" s="34"/>
      <c r="CZ105" s="34"/>
      <c r="DA105" s="34"/>
      <c r="DB105" s="34"/>
      <c r="DC105" s="34"/>
      <c r="DD105" s="34"/>
      <c r="DE105" s="34"/>
      <c r="DF105" s="34"/>
      <c r="DG105" s="34"/>
      <c r="DH105" s="34"/>
      <c r="DI105" s="34"/>
      <c r="DJ105" s="34"/>
      <c r="DK105" s="34"/>
      <c r="DL105" s="34"/>
      <c r="DM105" s="34"/>
      <c r="DN105" s="34"/>
      <c r="DO105" s="34"/>
      <c r="DP105" s="34"/>
      <c r="DQ105" s="34"/>
      <c r="DR105" s="34"/>
      <c r="DS105" s="34"/>
      <c r="DT105" s="34"/>
      <c r="DU105" s="34"/>
      <c r="DV105" s="34"/>
      <c r="DW105" s="34"/>
      <c r="DX105" s="34"/>
      <c r="DY105" s="34"/>
      <c r="DZ105" s="34"/>
    </row>
    <row r="106" spans="1:130" x14ac:dyDescent="0.25">
      <c r="A106" s="34"/>
      <c r="B106" s="37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  <c r="CM106" s="34"/>
      <c r="CN106" s="34"/>
      <c r="CO106" s="34"/>
      <c r="CP106" s="34"/>
      <c r="CQ106" s="34"/>
      <c r="CR106" s="34"/>
      <c r="CS106" s="34"/>
      <c r="CT106" s="34"/>
      <c r="CU106" s="34"/>
      <c r="CV106" s="34"/>
      <c r="CW106" s="34"/>
      <c r="CX106" s="34"/>
      <c r="CY106" s="34"/>
      <c r="CZ106" s="34"/>
      <c r="DA106" s="34"/>
      <c r="DB106" s="34"/>
      <c r="DC106" s="34"/>
      <c r="DD106" s="34"/>
      <c r="DE106" s="34"/>
      <c r="DF106" s="34"/>
      <c r="DG106" s="34"/>
      <c r="DH106" s="34"/>
      <c r="DI106" s="34"/>
      <c r="DJ106" s="34"/>
      <c r="DK106" s="34"/>
      <c r="DL106" s="34"/>
      <c r="DM106" s="34"/>
      <c r="DN106" s="34"/>
      <c r="DO106" s="34"/>
      <c r="DP106" s="34"/>
      <c r="DQ106" s="34"/>
      <c r="DR106" s="34"/>
      <c r="DS106" s="34"/>
      <c r="DT106" s="34"/>
      <c r="DU106" s="34"/>
      <c r="DV106" s="34"/>
      <c r="DW106" s="34"/>
      <c r="DX106" s="34"/>
      <c r="DY106" s="34"/>
      <c r="DZ106" s="34"/>
    </row>
    <row r="107" spans="1:130" x14ac:dyDescent="0.25">
      <c r="A107" s="34"/>
      <c r="B107" s="37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  <c r="CE107" s="34"/>
      <c r="CF107" s="34"/>
      <c r="CG107" s="34"/>
      <c r="CH107" s="34"/>
      <c r="CI107" s="34"/>
      <c r="CJ107" s="34"/>
      <c r="CK107" s="34"/>
      <c r="CL107" s="34"/>
      <c r="CM107" s="34"/>
      <c r="CN107" s="34"/>
      <c r="CO107" s="34"/>
      <c r="CP107" s="34"/>
      <c r="CQ107" s="34"/>
      <c r="CR107" s="34"/>
      <c r="CS107" s="34"/>
      <c r="CT107" s="34"/>
      <c r="CU107" s="34"/>
      <c r="CV107" s="34"/>
      <c r="CW107" s="34"/>
      <c r="CX107" s="34"/>
      <c r="CY107" s="34"/>
      <c r="CZ107" s="34"/>
      <c r="DA107" s="34"/>
      <c r="DB107" s="34"/>
      <c r="DC107" s="34"/>
      <c r="DD107" s="34"/>
      <c r="DE107" s="34"/>
      <c r="DF107" s="34"/>
      <c r="DG107" s="34"/>
      <c r="DH107" s="34"/>
      <c r="DI107" s="34"/>
      <c r="DJ107" s="34"/>
      <c r="DK107" s="34"/>
      <c r="DL107" s="34"/>
      <c r="DM107" s="34"/>
      <c r="DN107" s="34"/>
      <c r="DO107" s="34"/>
      <c r="DP107" s="34"/>
      <c r="DQ107" s="34"/>
      <c r="DR107" s="34"/>
      <c r="DS107" s="34"/>
      <c r="DT107" s="34"/>
      <c r="DU107" s="34"/>
      <c r="DV107" s="34"/>
      <c r="DW107" s="34"/>
      <c r="DX107" s="34"/>
      <c r="DY107" s="34"/>
      <c r="DZ107" s="34"/>
    </row>
    <row r="108" spans="1:130" x14ac:dyDescent="0.25">
      <c r="A108" s="34"/>
      <c r="B108" s="37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  <c r="CM108" s="34"/>
      <c r="CN108" s="34"/>
      <c r="CO108" s="34"/>
      <c r="CP108" s="34"/>
      <c r="CQ108" s="34"/>
      <c r="CR108" s="34"/>
      <c r="CS108" s="34"/>
      <c r="CT108" s="34"/>
      <c r="CU108" s="34"/>
      <c r="CV108" s="34"/>
      <c r="CW108" s="34"/>
      <c r="CX108" s="34"/>
      <c r="CY108" s="34"/>
      <c r="CZ108" s="34"/>
      <c r="DA108" s="34"/>
      <c r="DB108" s="34"/>
      <c r="DC108" s="34"/>
      <c r="DD108" s="34"/>
      <c r="DE108" s="34"/>
      <c r="DF108" s="34"/>
      <c r="DG108" s="34"/>
      <c r="DH108" s="34"/>
      <c r="DI108" s="34"/>
      <c r="DJ108" s="34"/>
      <c r="DK108" s="34"/>
      <c r="DL108" s="34"/>
      <c r="DM108" s="34"/>
      <c r="DN108" s="34"/>
      <c r="DO108" s="34"/>
      <c r="DP108" s="34"/>
      <c r="DQ108" s="34"/>
      <c r="DR108" s="34"/>
      <c r="DS108" s="34"/>
      <c r="DT108" s="34"/>
      <c r="DU108" s="34"/>
      <c r="DV108" s="34"/>
      <c r="DW108" s="34"/>
      <c r="DX108" s="34"/>
      <c r="DY108" s="34"/>
      <c r="DZ108" s="34"/>
    </row>
    <row r="109" spans="1:130" x14ac:dyDescent="0.25">
      <c r="A109" s="34"/>
      <c r="B109" s="37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4"/>
      <c r="CJ109" s="34"/>
      <c r="CK109" s="34"/>
      <c r="CL109" s="34"/>
      <c r="CM109" s="34"/>
      <c r="CN109" s="34"/>
      <c r="CO109" s="34"/>
      <c r="CP109" s="34"/>
      <c r="CQ109" s="34"/>
      <c r="CR109" s="34"/>
      <c r="CS109" s="34"/>
      <c r="CT109" s="34"/>
      <c r="CU109" s="34"/>
      <c r="CV109" s="34"/>
      <c r="CW109" s="34"/>
      <c r="CX109" s="34"/>
      <c r="CY109" s="34"/>
      <c r="CZ109" s="34"/>
      <c r="DA109" s="34"/>
      <c r="DB109" s="34"/>
      <c r="DC109" s="34"/>
      <c r="DD109" s="34"/>
      <c r="DE109" s="34"/>
      <c r="DF109" s="34"/>
      <c r="DG109" s="34"/>
      <c r="DH109" s="34"/>
      <c r="DI109" s="34"/>
      <c r="DJ109" s="34"/>
      <c r="DK109" s="34"/>
      <c r="DL109" s="34"/>
      <c r="DM109" s="34"/>
      <c r="DN109" s="34"/>
      <c r="DO109" s="34"/>
      <c r="DP109" s="34"/>
      <c r="DQ109" s="34"/>
      <c r="DR109" s="34"/>
      <c r="DS109" s="34"/>
      <c r="DT109" s="34"/>
      <c r="DU109" s="34"/>
      <c r="DV109" s="34"/>
      <c r="DW109" s="34"/>
      <c r="DX109" s="34"/>
      <c r="DY109" s="34"/>
      <c r="DZ109" s="34"/>
    </row>
    <row r="110" spans="1:130" x14ac:dyDescent="0.25">
      <c r="A110" s="34"/>
      <c r="B110" s="37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  <c r="CO110" s="34"/>
      <c r="CP110" s="34"/>
      <c r="CQ110" s="34"/>
      <c r="CR110" s="34"/>
      <c r="CS110" s="34"/>
      <c r="CT110" s="34"/>
      <c r="CU110" s="34"/>
      <c r="CV110" s="34"/>
      <c r="CW110" s="34"/>
      <c r="CX110" s="34"/>
      <c r="CY110" s="34"/>
      <c r="CZ110" s="34"/>
      <c r="DA110" s="34"/>
      <c r="DB110" s="34"/>
      <c r="DC110" s="34"/>
      <c r="DD110" s="34"/>
      <c r="DE110" s="34"/>
      <c r="DF110" s="34"/>
      <c r="DG110" s="34"/>
      <c r="DH110" s="34"/>
      <c r="DI110" s="34"/>
      <c r="DJ110" s="34"/>
      <c r="DK110" s="34"/>
      <c r="DL110" s="34"/>
      <c r="DM110" s="34"/>
      <c r="DN110" s="34"/>
      <c r="DO110" s="34"/>
      <c r="DP110" s="34"/>
      <c r="DQ110" s="34"/>
      <c r="DR110" s="34"/>
      <c r="DS110" s="34"/>
      <c r="DT110" s="34"/>
      <c r="DU110" s="34"/>
      <c r="DV110" s="34"/>
      <c r="DW110" s="34"/>
      <c r="DX110" s="34"/>
      <c r="DY110" s="34"/>
      <c r="DZ110" s="34"/>
    </row>
    <row r="111" spans="1:130" x14ac:dyDescent="0.25">
      <c r="A111" s="34"/>
      <c r="B111" s="37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  <c r="CM111" s="34"/>
      <c r="CN111" s="34"/>
      <c r="CO111" s="34"/>
      <c r="CP111" s="34"/>
      <c r="CQ111" s="34"/>
      <c r="CR111" s="34"/>
      <c r="CS111" s="34"/>
      <c r="CT111" s="34"/>
      <c r="CU111" s="34"/>
      <c r="CV111" s="34"/>
      <c r="CW111" s="34"/>
      <c r="CX111" s="34"/>
      <c r="CY111" s="34"/>
      <c r="CZ111" s="34"/>
      <c r="DA111" s="34"/>
      <c r="DB111" s="34"/>
      <c r="DC111" s="34"/>
      <c r="DD111" s="34"/>
      <c r="DE111" s="34"/>
      <c r="DF111" s="34"/>
      <c r="DG111" s="34"/>
      <c r="DH111" s="34"/>
      <c r="DI111" s="34"/>
      <c r="DJ111" s="34"/>
      <c r="DK111" s="34"/>
      <c r="DL111" s="34"/>
      <c r="DM111" s="34"/>
      <c r="DN111" s="34"/>
      <c r="DO111" s="34"/>
      <c r="DP111" s="34"/>
      <c r="DQ111" s="34"/>
      <c r="DR111" s="34"/>
      <c r="DS111" s="34"/>
      <c r="DT111" s="34"/>
      <c r="DU111" s="34"/>
      <c r="DV111" s="34"/>
      <c r="DW111" s="34"/>
      <c r="DX111" s="34"/>
      <c r="DY111" s="34"/>
      <c r="DZ111" s="34"/>
    </row>
    <row r="112" spans="1:130" x14ac:dyDescent="0.25">
      <c r="A112" s="34"/>
      <c r="B112" s="37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  <c r="CO112" s="34"/>
      <c r="CP112" s="34"/>
      <c r="CQ112" s="34"/>
      <c r="CR112" s="34"/>
      <c r="CS112" s="34"/>
      <c r="CT112" s="34"/>
      <c r="CU112" s="34"/>
      <c r="CV112" s="34"/>
      <c r="CW112" s="34"/>
      <c r="CX112" s="34"/>
      <c r="CY112" s="34"/>
      <c r="CZ112" s="34"/>
      <c r="DA112" s="34"/>
      <c r="DB112" s="34"/>
      <c r="DC112" s="34"/>
      <c r="DD112" s="34"/>
      <c r="DE112" s="34"/>
      <c r="DF112" s="34"/>
      <c r="DG112" s="34"/>
      <c r="DH112" s="34"/>
      <c r="DI112" s="34"/>
      <c r="DJ112" s="34"/>
      <c r="DK112" s="34"/>
      <c r="DL112" s="34"/>
      <c r="DM112" s="34"/>
      <c r="DN112" s="34"/>
      <c r="DO112" s="34"/>
      <c r="DP112" s="34"/>
      <c r="DQ112" s="34"/>
      <c r="DR112" s="34"/>
      <c r="DS112" s="34"/>
      <c r="DT112" s="34"/>
      <c r="DU112" s="34"/>
      <c r="DV112" s="34"/>
      <c r="DW112" s="34"/>
      <c r="DX112" s="34"/>
      <c r="DY112" s="34"/>
      <c r="DZ112" s="34"/>
    </row>
    <row r="113" spans="1:130" x14ac:dyDescent="0.25">
      <c r="A113" s="34"/>
      <c r="B113" s="37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  <c r="CM113" s="34"/>
      <c r="CN113" s="34"/>
      <c r="CO113" s="34"/>
      <c r="CP113" s="34"/>
      <c r="CQ113" s="34"/>
      <c r="CR113" s="34"/>
      <c r="CS113" s="34"/>
      <c r="CT113" s="34"/>
      <c r="CU113" s="34"/>
      <c r="CV113" s="34"/>
      <c r="CW113" s="34"/>
      <c r="CX113" s="34"/>
      <c r="CY113" s="34"/>
      <c r="CZ113" s="34"/>
      <c r="DA113" s="34"/>
      <c r="DB113" s="34"/>
      <c r="DC113" s="34"/>
      <c r="DD113" s="34"/>
      <c r="DE113" s="34"/>
      <c r="DF113" s="34"/>
      <c r="DG113" s="34"/>
      <c r="DH113" s="34"/>
      <c r="DI113" s="34"/>
      <c r="DJ113" s="34"/>
      <c r="DK113" s="34"/>
      <c r="DL113" s="34"/>
      <c r="DM113" s="34"/>
      <c r="DN113" s="34"/>
      <c r="DO113" s="34"/>
      <c r="DP113" s="34"/>
      <c r="DQ113" s="34"/>
      <c r="DR113" s="34"/>
      <c r="DS113" s="34"/>
      <c r="DT113" s="34"/>
      <c r="DU113" s="34"/>
      <c r="DV113" s="34"/>
      <c r="DW113" s="34"/>
      <c r="DX113" s="34"/>
      <c r="DY113" s="34"/>
      <c r="DZ113" s="34"/>
    </row>
    <row r="114" spans="1:130" x14ac:dyDescent="0.25">
      <c r="A114" s="34"/>
      <c r="B114" s="37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  <c r="CM114" s="34"/>
      <c r="CN114" s="34"/>
      <c r="CO114" s="34"/>
      <c r="CP114" s="34"/>
      <c r="CQ114" s="34"/>
      <c r="CR114" s="34"/>
      <c r="CS114" s="34"/>
      <c r="CT114" s="34"/>
      <c r="CU114" s="34"/>
      <c r="CV114" s="34"/>
      <c r="CW114" s="34"/>
      <c r="CX114" s="34"/>
      <c r="CY114" s="34"/>
      <c r="CZ114" s="34"/>
      <c r="DA114" s="34"/>
      <c r="DB114" s="34"/>
      <c r="DC114" s="34"/>
      <c r="DD114" s="34"/>
      <c r="DE114" s="34"/>
      <c r="DF114" s="34"/>
      <c r="DG114" s="34"/>
      <c r="DH114" s="34"/>
      <c r="DI114" s="34"/>
      <c r="DJ114" s="34"/>
      <c r="DK114" s="34"/>
      <c r="DL114" s="34"/>
      <c r="DM114" s="34"/>
      <c r="DN114" s="34"/>
      <c r="DO114" s="34"/>
      <c r="DP114" s="34"/>
      <c r="DQ114" s="34"/>
      <c r="DR114" s="34"/>
      <c r="DS114" s="34"/>
      <c r="DT114" s="34"/>
      <c r="DU114" s="34"/>
      <c r="DV114" s="34"/>
      <c r="DW114" s="34"/>
      <c r="DX114" s="34"/>
      <c r="DY114" s="34"/>
      <c r="DZ114" s="34"/>
    </row>
    <row r="115" spans="1:130" x14ac:dyDescent="0.25">
      <c r="A115" s="34"/>
      <c r="B115" s="37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  <c r="CM115" s="34"/>
      <c r="CN115" s="34"/>
      <c r="CO115" s="34"/>
      <c r="CP115" s="34"/>
      <c r="CQ115" s="34"/>
      <c r="CR115" s="34"/>
      <c r="CS115" s="34"/>
      <c r="CT115" s="34"/>
      <c r="CU115" s="34"/>
      <c r="CV115" s="34"/>
      <c r="CW115" s="34"/>
      <c r="CX115" s="34"/>
      <c r="CY115" s="34"/>
      <c r="CZ115" s="34"/>
      <c r="DA115" s="34"/>
      <c r="DB115" s="34"/>
      <c r="DC115" s="34"/>
      <c r="DD115" s="34"/>
      <c r="DE115" s="34"/>
      <c r="DF115" s="34"/>
      <c r="DG115" s="34"/>
      <c r="DH115" s="34"/>
      <c r="DI115" s="34"/>
      <c r="DJ115" s="34"/>
      <c r="DK115" s="34"/>
      <c r="DL115" s="34"/>
      <c r="DM115" s="34"/>
      <c r="DN115" s="34"/>
      <c r="DO115" s="34"/>
      <c r="DP115" s="34"/>
      <c r="DQ115" s="34"/>
      <c r="DR115" s="34"/>
      <c r="DS115" s="34"/>
      <c r="DT115" s="34"/>
      <c r="DU115" s="34"/>
      <c r="DV115" s="34"/>
      <c r="DW115" s="34"/>
      <c r="DX115" s="34"/>
      <c r="DY115" s="34"/>
      <c r="DZ115" s="34"/>
    </row>
    <row r="116" spans="1:130" x14ac:dyDescent="0.25">
      <c r="A116" s="34"/>
      <c r="B116" s="37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  <c r="CL116" s="34"/>
      <c r="CM116" s="34"/>
      <c r="CN116" s="34"/>
      <c r="CO116" s="34"/>
      <c r="CP116" s="34"/>
      <c r="CQ116" s="34"/>
      <c r="CR116" s="34"/>
      <c r="CS116" s="34"/>
      <c r="CT116" s="34"/>
      <c r="CU116" s="34"/>
      <c r="CV116" s="34"/>
      <c r="CW116" s="34"/>
      <c r="CX116" s="34"/>
      <c r="CY116" s="34"/>
      <c r="CZ116" s="34"/>
      <c r="DA116" s="34"/>
      <c r="DB116" s="34"/>
      <c r="DC116" s="34"/>
      <c r="DD116" s="34"/>
      <c r="DE116" s="34"/>
      <c r="DF116" s="34"/>
      <c r="DG116" s="34"/>
      <c r="DH116" s="34"/>
      <c r="DI116" s="34"/>
      <c r="DJ116" s="34"/>
      <c r="DK116" s="34"/>
      <c r="DL116" s="34"/>
      <c r="DM116" s="34"/>
      <c r="DN116" s="34"/>
      <c r="DO116" s="34"/>
      <c r="DP116" s="34"/>
      <c r="DQ116" s="34"/>
      <c r="DR116" s="34"/>
      <c r="DS116" s="34"/>
      <c r="DT116" s="34"/>
      <c r="DU116" s="34"/>
      <c r="DV116" s="34"/>
      <c r="DW116" s="34"/>
      <c r="DX116" s="34"/>
      <c r="DY116" s="34"/>
      <c r="DZ116" s="34"/>
    </row>
    <row r="117" spans="1:130" x14ac:dyDescent="0.25">
      <c r="A117" s="34"/>
      <c r="B117" s="37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  <c r="CF117" s="34"/>
      <c r="CG117" s="34"/>
      <c r="CH117" s="34"/>
      <c r="CI117" s="34"/>
      <c r="CJ117" s="34"/>
      <c r="CK117" s="34"/>
      <c r="CL117" s="34"/>
      <c r="CM117" s="34"/>
      <c r="CN117" s="34"/>
      <c r="CO117" s="34"/>
      <c r="CP117" s="34"/>
      <c r="CQ117" s="34"/>
      <c r="CR117" s="34"/>
      <c r="CS117" s="34"/>
      <c r="CT117" s="34"/>
      <c r="CU117" s="34"/>
      <c r="CV117" s="34"/>
      <c r="CW117" s="34"/>
      <c r="CX117" s="34"/>
      <c r="CY117" s="34"/>
      <c r="CZ117" s="34"/>
      <c r="DA117" s="34"/>
      <c r="DB117" s="34"/>
      <c r="DC117" s="34"/>
      <c r="DD117" s="34"/>
      <c r="DE117" s="34"/>
      <c r="DF117" s="34"/>
      <c r="DG117" s="34"/>
      <c r="DH117" s="34"/>
      <c r="DI117" s="34"/>
      <c r="DJ117" s="34"/>
      <c r="DK117" s="34"/>
      <c r="DL117" s="34"/>
      <c r="DM117" s="34"/>
      <c r="DN117" s="34"/>
      <c r="DO117" s="34"/>
      <c r="DP117" s="34"/>
      <c r="DQ117" s="34"/>
      <c r="DR117" s="34"/>
      <c r="DS117" s="34"/>
      <c r="DT117" s="34"/>
      <c r="DU117" s="34"/>
      <c r="DV117" s="34"/>
      <c r="DW117" s="34"/>
      <c r="DX117" s="34"/>
      <c r="DY117" s="34"/>
      <c r="DZ117" s="34"/>
    </row>
    <row r="118" spans="1:130" x14ac:dyDescent="0.25">
      <c r="A118" s="34"/>
      <c r="B118" s="37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  <c r="CO118" s="34"/>
      <c r="CP118" s="34"/>
      <c r="CQ118" s="34"/>
      <c r="CR118" s="34"/>
      <c r="CS118" s="34"/>
      <c r="CT118" s="34"/>
      <c r="CU118" s="34"/>
      <c r="CV118" s="34"/>
      <c r="CW118" s="34"/>
      <c r="CX118" s="34"/>
      <c r="CY118" s="34"/>
      <c r="CZ118" s="34"/>
      <c r="DA118" s="34"/>
      <c r="DB118" s="34"/>
      <c r="DC118" s="34"/>
      <c r="DD118" s="34"/>
      <c r="DE118" s="34"/>
      <c r="DF118" s="34"/>
      <c r="DG118" s="34"/>
      <c r="DH118" s="34"/>
      <c r="DI118" s="34"/>
      <c r="DJ118" s="34"/>
      <c r="DK118" s="34"/>
      <c r="DL118" s="34"/>
      <c r="DM118" s="34"/>
      <c r="DN118" s="34"/>
      <c r="DO118" s="34"/>
      <c r="DP118" s="34"/>
      <c r="DQ118" s="34"/>
      <c r="DR118" s="34"/>
      <c r="DS118" s="34"/>
      <c r="DT118" s="34"/>
      <c r="DU118" s="34"/>
      <c r="DV118" s="34"/>
      <c r="DW118" s="34"/>
      <c r="DX118" s="34"/>
      <c r="DY118" s="34"/>
      <c r="DZ118" s="34"/>
    </row>
    <row r="119" spans="1:130" x14ac:dyDescent="0.25">
      <c r="A119" s="34"/>
      <c r="B119" s="37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4"/>
      <c r="CL119" s="34"/>
      <c r="CM119" s="34"/>
      <c r="CN119" s="34"/>
      <c r="CO119" s="34"/>
      <c r="CP119" s="34"/>
      <c r="CQ119" s="34"/>
      <c r="CR119" s="34"/>
      <c r="CS119" s="34"/>
      <c r="CT119" s="34"/>
      <c r="CU119" s="34"/>
      <c r="CV119" s="34"/>
      <c r="CW119" s="34"/>
      <c r="CX119" s="34"/>
      <c r="CY119" s="34"/>
      <c r="CZ119" s="34"/>
      <c r="DA119" s="34"/>
      <c r="DB119" s="34"/>
      <c r="DC119" s="34"/>
      <c r="DD119" s="34"/>
      <c r="DE119" s="34"/>
      <c r="DF119" s="34"/>
      <c r="DG119" s="34"/>
      <c r="DH119" s="34"/>
      <c r="DI119" s="34"/>
      <c r="DJ119" s="34"/>
      <c r="DK119" s="34"/>
      <c r="DL119" s="34"/>
      <c r="DM119" s="34"/>
      <c r="DN119" s="34"/>
      <c r="DO119" s="34"/>
      <c r="DP119" s="34"/>
      <c r="DQ119" s="34"/>
      <c r="DR119" s="34"/>
      <c r="DS119" s="34"/>
      <c r="DT119" s="34"/>
      <c r="DU119" s="34"/>
      <c r="DV119" s="34"/>
      <c r="DW119" s="34"/>
      <c r="DX119" s="34"/>
      <c r="DY119" s="34"/>
      <c r="DZ119" s="34"/>
    </row>
    <row r="120" spans="1:130" x14ac:dyDescent="0.25">
      <c r="A120" s="34"/>
      <c r="B120" s="37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  <c r="CM120" s="34"/>
      <c r="CN120" s="34"/>
      <c r="CO120" s="34"/>
      <c r="CP120" s="34"/>
      <c r="CQ120" s="34"/>
      <c r="CR120" s="34"/>
      <c r="CS120" s="34"/>
      <c r="CT120" s="34"/>
      <c r="CU120" s="34"/>
      <c r="CV120" s="34"/>
      <c r="CW120" s="34"/>
      <c r="CX120" s="34"/>
      <c r="CY120" s="34"/>
      <c r="CZ120" s="34"/>
      <c r="DA120" s="34"/>
      <c r="DB120" s="34"/>
      <c r="DC120" s="34"/>
      <c r="DD120" s="34"/>
      <c r="DE120" s="34"/>
      <c r="DF120" s="34"/>
      <c r="DG120" s="34"/>
      <c r="DH120" s="34"/>
      <c r="DI120" s="34"/>
      <c r="DJ120" s="34"/>
      <c r="DK120" s="34"/>
      <c r="DL120" s="34"/>
      <c r="DM120" s="34"/>
      <c r="DN120" s="34"/>
      <c r="DO120" s="34"/>
      <c r="DP120" s="34"/>
      <c r="DQ120" s="34"/>
      <c r="DR120" s="34"/>
      <c r="DS120" s="34"/>
      <c r="DT120" s="34"/>
      <c r="DU120" s="34"/>
      <c r="DV120" s="34"/>
      <c r="DW120" s="34"/>
      <c r="DX120" s="34"/>
      <c r="DY120" s="34"/>
      <c r="DZ120" s="34"/>
    </row>
    <row r="121" spans="1:130" x14ac:dyDescent="0.25">
      <c r="A121" s="34"/>
      <c r="B121" s="37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  <c r="CM121" s="34"/>
      <c r="CN121" s="34"/>
      <c r="CO121" s="34"/>
      <c r="CP121" s="34"/>
      <c r="CQ121" s="34"/>
      <c r="CR121" s="34"/>
      <c r="CS121" s="34"/>
      <c r="CT121" s="34"/>
      <c r="CU121" s="34"/>
      <c r="CV121" s="34"/>
      <c r="CW121" s="34"/>
      <c r="CX121" s="34"/>
      <c r="CY121" s="34"/>
      <c r="CZ121" s="34"/>
      <c r="DA121" s="34"/>
      <c r="DB121" s="34"/>
      <c r="DC121" s="34"/>
      <c r="DD121" s="34"/>
      <c r="DE121" s="34"/>
      <c r="DF121" s="34"/>
      <c r="DG121" s="34"/>
      <c r="DH121" s="34"/>
      <c r="DI121" s="34"/>
      <c r="DJ121" s="34"/>
      <c r="DK121" s="34"/>
      <c r="DL121" s="34"/>
      <c r="DM121" s="34"/>
      <c r="DN121" s="34"/>
      <c r="DO121" s="34"/>
      <c r="DP121" s="34"/>
      <c r="DQ121" s="34"/>
      <c r="DR121" s="34"/>
      <c r="DS121" s="34"/>
      <c r="DT121" s="34"/>
      <c r="DU121" s="34"/>
      <c r="DV121" s="34"/>
      <c r="DW121" s="34"/>
      <c r="DX121" s="34"/>
      <c r="DY121" s="34"/>
      <c r="DZ121" s="34"/>
    </row>
    <row r="122" spans="1:130" x14ac:dyDescent="0.25">
      <c r="A122" s="34"/>
      <c r="B122" s="37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  <c r="CM122" s="34"/>
      <c r="CN122" s="34"/>
      <c r="CO122" s="34"/>
      <c r="CP122" s="34"/>
      <c r="CQ122" s="34"/>
      <c r="CR122" s="34"/>
      <c r="CS122" s="34"/>
      <c r="CT122" s="34"/>
      <c r="CU122" s="34"/>
      <c r="CV122" s="34"/>
      <c r="CW122" s="34"/>
      <c r="CX122" s="34"/>
      <c r="CY122" s="34"/>
      <c r="CZ122" s="34"/>
      <c r="DA122" s="34"/>
      <c r="DB122" s="34"/>
      <c r="DC122" s="34"/>
      <c r="DD122" s="34"/>
      <c r="DE122" s="34"/>
      <c r="DF122" s="34"/>
      <c r="DG122" s="34"/>
      <c r="DH122" s="34"/>
      <c r="DI122" s="34"/>
      <c r="DJ122" s="34"/>
      <c r="DK122" s="34"/>
      <c r="DL122" s="34"/>
      <c r="DM122" s="34"/>
      <c r="DN122" s="34"/>
      <c r="DO122" s="34"/>
      <c r="DP122" s="34"/>
      <c r="DQ122" s="34"/>
      <c r="DR122" s="34"/>
      <c r="DS122" s="34"/>
      <c r="DT122" s="34"/>
      <c r="DU122" s="34"/>
      <c r="DV122" s="34"/>
      <c r="DW122" s="34"/>
      <c r="DX122" s="34"/>
      <c r="DY122" s="34"/>
      <c r="DZ122" s="34"/>
    </row>
    <row r="123" spans="1:130" x14ac:dyDescent="0.25">
      <c r="A123" s="34"/>
      <c r="B123" s="37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  <c r="CE123" s="34"/>
      <c r="CF123" s="34"/>
      <c r="CG123" s="34"/>
      <c r="CH123" s="34"/>
      <c r="CI123" s="34"/>
      <c r="CJ123" s="34"/>
      <c r="CK123" s="34"/>
      <c r="CL123" s="34"/>
      <c r="CM123" s="34"/>
      <c r="CN123" s="34"/>
      <c r="CO123" s="34"/>
      <c r="CP123" s="34"/>
      <c r="CQ123" s="34"/>
      <c r="CR123" s="34"/>
      <c r="CS123" s="34"/>
      <c r="CT123" s="34"/>
      <c r="CU123" s="34"/>
      <c r="CV123" s="34"/>
      <c r="CW123" s="34"/>
      <c r="CX123" s="34"/>
      <c r="CY123" s="34"/>
      <c r="CZ123" s="34"/>
      <c r="DA123" s="34"/>
      <c r="DB123" s="34"/>
      <c r="DC123" s="34"/>
      <c r="DD123" s="34"/>
      <c r="DE123" s="34"/>
      <c r="DF123" s="34"/>
      <c r="DG123" s="34"/>
      <c r="DH123" s="34"/>
      <c r="DI123" s="34"/>
      <c r="DJ123" s="34"/>
      <c r="DK123" s="34"/>
      <c r="DL123" s="34"/>
      <c r="DM123" s="34"/>
      <c r="DN123" s="34"/>
      <c r="DO123" s="34"/>
      <c r="DP123" s="34"/>
      <c r="DQ123" s="34"/>
      <c r="DR123" s="34"/>
      <c r="DS123" s="34"/>
      <c r="DT123" s="34"/>
      <c r="DU123" s="34"/>
      <c r="DV123" s="34"/>
      <c r="DW123" s="34"/>
      <c r="DX123" s="34"/>
      <c r="DY123" s="34"/>
      <c r="DZ123" s="34"/>
    </row>
    <row r="124" spans="1:130" x14ac:dyDescent="0.25">
      <c r="A124" s="34"/>
      <c r="B124" s="37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  <c r="CM124" s="34"/>
      <c r="CN124" s="34"/>
      <c r="CO124" s="34"/>
      <c r="CP124" s="34"/>
      <c r="CQ124" s="34"/>
      <c r="CR124" s="34"/>
      <c r="CS124" s="34"/>
      <c r="CT124" s="34"/>
      <c r="CU124" s="34"/>
      <c r="CV124" s="34"/>
      <c r="CW124" s="34"/>
      <c r="CX124" s="34"/>
      <c r="CY124" s="34"/>
      <c r="CZ124" s="34"/>
      <c r="DA124" s="34"/>
      <c r="DB124" s="34"/>
      <c r="DC124" s="34"/>
      <c r="DD124" s="34"/>
      <c r="DE124" s="34"/>
      <c r="DF124" s="34"/>
      <c r="DG124" s="34"/>
      <c r="DH124" s="34"/>
      <c r="DI124" s="34"/>
      <c r="DJ124" s="34"/>
      <c r="DK124" s="34"/>
      <c r="DL124" s="34"/>
      <c r="DM124" s="34"/>
      <c r="DN124" s="34"/>
      <c r="DO124" s="34"/>
      <c r="DP124" s="34"/>
      <c r="DQ124" s="34"/>
      <c r="DR124" s="34"/>
      <c r="DS124" s="34"/>
      <c r="DT124" s="34"/>
      <c r="DU124" s="34"/>
      <c r="DV124" s="34"/>
      <c r="DW124" s="34"/>
      <c r="DX124" s="34"/>
      <c r="DY124" s="34"/>
      <c r="DZ124" s="34"/>
    </row>
    <row r="125" spans="1:130" x14ac:dyDescent="0.25">
      <c r="A125" s="34"/>
      <c r="B125" s="37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4"/>
      <c r="CL125" s="34"/>
      <c r="CM125" s="34"/>
      <c r="CN125" s="34"/>
      <c r="CO125" s="34"/>
      <c r="CP125" s="34"/>
      <c r="CQ125" s="34"/>
      <c r="CR125" s="34"/>
      <c r="CS125" s="34"/>
      <c r="CT125" s="34"/>
      <c r="CU125" s="34"/>
      <c r="CV125" s="34"/>
      <c r="CW125" s="34"/>
      <c r="CX125" s="34"/>
      <c r="CY125" s="34"/>
      <c r="CZ125" s="34"/>
      <c r="DA125" s="34"/>
      <c r="DB125" s="34"/>
      <c r="DC125" s="34"/>
      <c r="DD125" s="34"/>
      <c r="DE125" s="34"/>
      <c r="DF125" s="34"/>
      <c r="DG125" s="34"/>
      <c r="DH125" s="34"/>
      <c r="DI125" s="34"/>
      <c r="DJ125" s="34"/>
      <c r="DK125" s="34"/>
      <c r="DL125" s="34"/>
      <c r="DM125" s="34"/>
      <c r="DN125" s="34"/>
      <c r="DO125" s="34"/>
      <c r="DP125" s="34"/>
      <c r="DQ125" s="34"/>
      <c r="DR125" s="34"/>
      <c r="DS125" s="34"/>
      <c r="DT125" s="34"/>
      <c r="DU125" s="34"/>
      <c r="DV125" s="34"/>
      <c r="DW125" s="34"/>
      <c r="DX125" s="34"/>
      <c r="DY125" s="34"/>
      <c r="DZ125" s="34"/>
    </row>
    <row r="126" spans="1:130" x14ac:dyDescent="0.25">
      <c r="A126" s="34"/>
      <c r="B126" s="37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  <c r="CM126" s="34"/>
      <c r="CN126" s="34"/>
      <c r="CO126" s="34"/>
      <c r="CP126" s="34"/>
      <c r="CQ126" s="34"/>
      <c r="CR126" s="34"/>
      <c r="CS126" s="34"/>
      <c r="CT126" s="34"/>
      <c r="CU126" s="34"/>
      <c r="CV126" s="34"/>
      <c r="CW126" s="34"/>
      <c r="CX126" s="34"/>
      <c r="CY126" s="34"/>
      <c r="CZ126" s="34"/>
      <c r="DA126" s="34"/>
      <c r="DB126" s="34"/>
      <c r="DC126" s="34"/>
      <c r="DD126" s="34"/>
      <c r="DE126" s="34"/>
      <c r="DF126" s="34"/>
      <c r="DG126" s="34"/>
      <c r="DH126" s="34"/>
      <c r="DI126" s="34"/>
      <c r="DJ126" s="34"/>
      <c r="DK126" s="34"/>
      <c r="DL126" s="34"/>
      <c r="DM126" s="34"/>
      <c r="DN126" s="34"/>
      <c r="DO126" s="34"/>
      <c r="DP126" s="34"/>
      <c r="DQ126" s="34"/>
      <c r="DR126" s="34"/>
      <c r="DS126" s="34"/>
      <c r="DT126" s="34"/>
      <c r="DU126" s="34"/>
      <c r="DV126" s="34"/>
      <c r="DW126" s="34"/>
      <c r="DX126" s="34"/>
      <c r="DY126" s="34"/>
      <c r="DZ126" s="34"/>
    </row>
    <row r="127" spans="1:130" x14ac:dyDescent="0.25">
      <c r="A127" s="34"/>
      <c r="B127" s="37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  <c r="CM127" s="34"/>
      <c r="CN127" s="34"/>
      <c r="CO127" s="34"/>
      <c r="CP127" s="34"/>
      <c r="CQ127" s="34"/>
      <c r="CR127" s="34"/>
      <c r="CS127" s="34"/>
      <c r="CT127" s="34"/>
      <c r="CU127" s="34"/>
      <c r="CV127" s="34"/>
      <c r="CW127" s="34"/>
      <c r="CX127" s="34"/>
      <c r="CY127" s="34"/>
      <c r="CZ127" s="34"/>
      <c r="DA127" s="34"/>
      <c r="DB127" s="34"/>
      <c r="DC127" s="34"/>
      <c r="DD127" s="34"/>
      <c r="DE127" s="34"/>
      <c r="DF127" s="34"/>
      <c r="DG127" s="34"/>
      <c r="DH127" s="34"/>
      <c r="DI127" s="34"/>
      <c r="DJ127" s="34"/>
      <c r="DK127" s="34"/>
      <c r="DL127" s="34"/>
      <c r="DM127" s="34"/>
      <c r="DN127" s="34"/>
      <c r="DO127" s="34"/>
      <c r="DP127" s="34"/>
      <c r="DQ127" s="34"/>
      <c r="DR127" s="34"/>
      <c r="DS127" s="34"/>
      <c r="DT127" s="34"/>
      <c r="DU127" s="34"/>
      <c r="DV127" s="34"/>
      <c r="DW127" s="34"/>
      <c r="DX127" s="34"/>
      <c r="DY127" s="34"/>
      <c r="DZ127" s="34"/>
    </row>
    <row r="128" spans="1:130" x14ac:dyDescent="0.25">
      <c r="A128" s="34"/>
      <c r="B128" s="37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  <c r="CM128" s="34"/>
      <c r="CN128" s="34"/>
      <c r="CO128" s="34"/>
      <c r="CP128" s="34"/>
      <c r="CQ128" s="34"/>
      <c r="CR128" s="34"/>
      <c r="CS128" s="34"/>
      <c r="CT128" s="34"/>
      <c r="CU128" s="34"/>
      <c r="CV128" s="34"/>
      <c r="CW128" s="34"/>
      <c r="CX128" s="34"/>
      <c r="CY128" s="34"/>
      <c r="CZ128" s="34"/>
      <c r="DA128" s="34"/>
      <c r="DB128" s="34"/>
      <c r="DC128" s="34"/>
      <c r="DD128" s="34"/>
      <c r="DE128" s="34"/>
      <c r="DF128" s="34"/>
      <c r="DG128" s="34"/>
      <c r="DH128" s="34"/>
      <c r="DI128" s="34"/>
      <c r="DJ128" s="34"/>
      <c r="DK128" s="34"/>
      <c r="DL128" s="34"/>
      <c r="DM128" s="34"/>
      <c r="DN128" s="34"/>
      <c r="DO128" s="34"/>
      <c r="DP128" s="34"/>
      <c r="DQ128" s="34"/>
      <c r="DR128" s="34"/>
      <c r="DS128" s="34"/>
      <c r="DT128" s="34"/>
      <c r="DU128" s="34"/>
      <c r="DV128" s="34"/>
      <c r="DW128" s="34"/>
      <c r="DX128" s="34"/>
      <c r="DY128" s="34"/>
      <c r="DZ128" s="34"/>
    </row>
    <row r="129" spans="1:130" x14ac:dyDescent="0.25">
      <c r="A129" s="34"/>
      <c r="B129" s="37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  <c r="CE129" s="34"/>
      <c r="CF129" s="34"/>
      <c r="CG129" s="34"/>
      <c r="CH129" s="34"/>
      <c r="CI129" s="34"/>
      <c r="CJ129" s="34"/>
      <c r="CK129" s="34"/>
      <c r="CL129" s="34"/>
      <c r="CM129" s="34"/>
      <c r="CN129" s="34"/>
      <c r="CO129" s="34"/>
      <c r="CP129" s="34"/>
      <c r="CQ129" s="34"/>
      <c r="CR129" s="34"/>
      <c r="CS129" s="34"/>
      <c r="CT129" s="34"/>
      <c r="CU129" s="34"/>
      <c r="CV129" s="34"/>
      <c r="CW129" s="34"/>
      <c r="CX129" s="34"/>
      <c r="CY129" s="34"/>
      <c r="CZ129" s="34"/>
      <c r="DA129" s="34"/>
      <c r="DB129" s="34"/>
      <c r="DC129" s="34"/>
      <c r="DD129" s="34"/>
      <c r="DE129" s="34"/>
      <c r="DF129" s="34"/>
      <c r="DG129" s="34"/>
      <c r="DH129" s="34"/>
      <c r="DI129" s="34"/>
      <c r="DJ129" s="34"/>
      <c r="DK129" s="34"/>
      <c r="DL129" s="34"/>
      <c r="DM129" s="34"/>
      <c r="DN129" s="34"/>
      <c r="DO129" s="34"/>
      <c r="DP129" s="34"/>
      <c r="DQ129" s="34"/>
      <c r="DR129" s="34"/>
      <c r="DS129" s="34"/>
      <c r="DT129" s="34"/>
      <c r="DU129" s="34"/>
      <c r="DV129" s="34"/>
      <c r="DW129" s="34"/>
      <c r="DX129" s="34"/>
      <c r="DY129" s="34"/>
      <c r="DZ129" s="34"/>
    </row>
    <row r="130" spans="1:130" x14ac:dyDescent="0.25">
      <c r="A130" s="34"/>
      <c r="B130" s="37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  <c r="CF130" s="34"/>
      <c r="CG130" s="34"/>
      <c r="CH130" s="34"/>
      <c r="CI130" s="34"/>
      <c r="CJ130" s="34"/>
      <c r="CK130" s="34"/>
      <c r="CL130" s="34"/>
      <c r="CM130" s="34"/>
      <c r="CN130" s="34"/>
      <c r="CO130" s="34"/>
      <c r="CP130" s="34"/>
      <c r="CQ130" s="34"/>
      <c r="CR130" s="34"/>
      <c r="CS130" s="34"/>
      <c r="CT130" s="34"/>
      <c r="CU130" s="34"/>
      <c r="CV130" s="34"/>
      <c r="CW130" s="34"/>
      <c r="CX130" s="34"/>
      <c r="CY130" s="34"/>
      <c r="CZ130" s="34"/>
      <c r="DA130" s="34"/>
      <c r="DB130" s="34"/>
      <c r="DC130" s="34"/>
      <c r="DD130" s="34"/>
      <c r="DE130" s="34"/>
      <c r="DF130" s="34"/>
      <c r="DG130" s="34"/>
      <c r="DH130" s="34"/>
      <c r="DI130" s="34"/>
      <c r="DJ130" s="34"/>
      <c r="DK130" s="34"/>
      <c r="DL130" s="34"/>
      <c r="DM130" s="34"/>
      <c r="DN130" s="34"/>
      <c r="DO130" s="34"/>
      <c r="DP130" s="34"/>
      <c r="DQ130" s="34"/>
      <c r="DR130" s="34"/>
      <c r="DS130" s="34"/>
      <c r="DT130" s="34"/>
      <c r="DU130" s="34"/>
      <c r="DV130" s="34"/>
      <c r="DW130" s="34"/>
      <c r="DX130" s="34"/>
      <c r="DY130" s="34"/>
      <c r="DZ130" s="34"/>
    </row>
    <row r="131" spans="1:130" x14ac:dyDescent="0.25">
      <c r="A131" s="34"/>
      <c r="B131" s="37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  <c r="CM131" s="34"/>
      <c r="CN131" s="34"/>
      <c r="CO131" s="34"/>
      <c r="CP131" s="34"/>
      <c r="CQ131" s="34"/>
      <c r="CR131" s="34"/>
      <c r="CS131" s="34"/>
      <c r="CT131" s="34"/>
      <c r="CU131" s="34"/>
      <c r="CV131" s="34"/>
      <c r="CW131" s="34"/>
      <c r="CX131" s="34"/>
      <c r="CY131" s="34"/>
      <c r="CZ131" s="34"/>
      <c r="DA131" s="34"/>
      <c r="DB131" s="34"/>
      <c r="DC131" s="34"/>
      <c r="DD131" s="34"/>
      <c r="DE131" s="34"/>
      <c r="DF131" s="34"/>
      <c r="DG131" s="34"/>
      <c r="DH131" s="34"/>
      <c r="DI131" s="34"/>
      <c r="DJ131" s="34"/>
      <c r="DK131" s="34"/>
      <c r="DL131" s="34"/>
      <c r="DM131" s="34"/>
      <c r="DN131" s="34"/>
      <c r="DO131" s="34"/>
      <c r="DP131" s="34"/>
      <c r="DQ131" s="34"/>
      <c r="DR131" s="34"/>
      <c r="DS131" s="34"/>
      <c r="DT131" s="34"/>
      <c r="DU131" s="34"/>
      <c r="DV131" s="34"/>
      <c r="DW131" s="34"/>
      <c r="DX131" s="34"/>
      <c r="DY131" s="34"/>
      <c r="DZ131" s="34"/>
    </row>
    <row r="132" spans="1:130" x14ac:dyDescent="0.25">
      <c r="A132" s="34"/>
      <c r="B132" s="37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  <c r="CM132" s="34"/>
      <c r="CN132" s="34"/>
      <c r="CO132" s="34"/>
      <c r="CP132" s="34"/>
      <c r="CQ132" s="34"/>
      <c r="CR132" s="34"/>
      <c r="CS132" s="34"/>
      <c r="CT132" s="34"/>
      <c r="CU132" s="34"/>
      <c r="CV132" s="34"/>
      <c r="CW132" s="34"/>
      <c r="CX132" s="34"/>
      <c r="CY132" s="34"/>
      <c r="CZ132" s="34"/>
      <c r="DA132" s="34"/>
      <c r="DB132" s="34"/>
      <c r="DC132" s="34"/>
      <c r="DD132" s="34"/>
      <c r="DE132" s="34"/>
      <c r="DF132" s="34"/>
      <c r="DG132" s="34"/>
      <c r="DH132" s="34"/>
      <c r="DI132" s="34"/>
      <c r="DJ132" s="34"/>
      <c r="DK132" s="34"/>
      <c r="DL132" s="34"/>
      <c r="DM132" s="34"/>
      <c r="DN132" s="34"/>
      <c r="DO132" s="34"/>
      <c r="DP132" s="34"/>
      <c r="DQ132" s="34"/>
      <c r="DR132" s="34"/>
      <c r="DS132" s="34"/>
      <c r="DT132" s="34"/>
      <c r="DU132" s="34"/>
      <c r="DV132" s="34"/>
      <c r="DW132" s="34"/>
      <c r="DX132" s="34"/>
      <c r="DY132" s="34"/>
      <c r="DZ132" s="34"/>
    </row>
    <row r="133" spans="1:130" x14ac:dyDescent="0.25">
      <c r="A133" s="34"/>
      <c r="B133" s="37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  <c r="CM133" s="34"/>
      <c r="CN133" s="34"/>
      <c r="CO133" s="34"/>
      <c r="CP133" s="34"/>
      <c r="CQ133" s="34"/>
      <c r="CR133" s="34"/>
      <c r="CS133" s="34"/>
      <c r="CT133" s="34"/>
      <c r="CU133" s="34"/>
      <c r="CV133" s="34"/>
      <c r="CW133" s="34"/>
      <c r="CX133" s="34"/>
      <c r="CY133" s="34"/>
      <c r="CZ133" s="34"/>
      <c r="DA133" s="34"/>
      <c r="DB133" s="34"/>
      <c r="DC133" s="34"/>
      <c r="DD133" s="34"/>
      <c r="DE133" s="34"/>
      <c r="DF133" s="34"/>
      <c r="DG133" s="34"/>
      <c r="DH133" s="34"/>
      <c r="DI133" s="34"/>
      <c r="DJ133" s="34"/>
      <c r="DK133" s="34"/>
      <c r="DL133" s="34"/>
      <c r="DM133" s="34"/>
      <c r="DN133" s="34"/>
      <c r="DO133" s="34"/>
      <c r="DP133" s="34"/>
      <c r="DQ133" s="34"/>
      <c r="DR133" s="34"/>
      <c r="DS133" s="34"/>
      <c r="DT133" s="34"/>
      <c r="DU133" s="34"/>
      <c r="DV133" s="34"/>
      <c r="DW133" s="34"/>
      <c r="DX133" s="34"/>
      <c r="DY133" s="34"/>
      <c r="DZ133" s="34"/>
    </row>
    <row r="134" spans="1:130" x14ac:dyDescent="0.25">
      <c r="A134" s="34"/>
      <c r="B134" s="37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  <c r="CH134" s="34"/>
      <c r="CI134" s="34"/>
      <c r="CJ134" s="34"/>
      <c r="CK134" s="34"/>
      <c r="CL134" s="34"/>
      <c r="CM134" s="34"/>
      <c r="CN134" s="34"/>
      <c r="CO134" s="34"/>
      <c r="CP134" s="34"/>
      <c r="CQ134" s="34"/>
      <c r="CR134" s="34"/>
      <c r="CS134" s="34"/>
      <c r="CT134" s="34"/>
      <c r="CU134" s="34"/>
      <c r="CV134" s="34"/>
      <c r="CW134" s="34"/>
      <c r="CX134" s="34"/>
      <c r="CY134" s="34"/>
      <c r="CZ134" s="34"/>
      <c r="DA134" s="34"/>
      <c r="DB134" s="34"/>
      <c r="DC134" s="34"/>
      <c r="DD134" s="34"/>
      <c r="DE134" s="34"/>
      <c r="DF134" s="34"/>
      <c r="DG134" s="34"/>
      <c r="DH134" s="34"/>
      <c r="DI134" s="34"/>
      <c r="DJ134" s="34"/>
      <c r="DK134" s="34"/>
      <c r="DL134" s="34"/>
      <c r="DM134" s="34"/>
      <c r="DN134" s="34"/>
      <c r="DO134" s="34"/>
      <c r="DP134" s="34"/>
      <c r="DQ134" s="34"/>
      <c r="DR134" s="34"/>
      <c r="DS134" s="34"/>
      <c r="DT134" s="34"/>
      <c r="DU134" s="34"/>
      <c r="DV134" s="34"/>
      <c r="DW134" s="34"/>
      <c r="DX134" s="34"/>
      <c r="DY134" s="34"/>
      <c r="DZ134" s="34"/>
    </row>
    <row r="135" spans="1:130" x14ac:dyDescent="0.25">
      <c r="A135" s="34"/>
      <c r="B135" s="37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  <c r="CL135" s="34"/>
      <c r="CM135" s="34"/>
      <c r="CN135" s="34"/>
      <c r="CO135" s="34"/>
      <c r="CP135" s="34"/>
      <c r="CQ135" s="34"/>
      <c r="CR135" s="34"/>
      <c r="CS135" s="34"/>
      <c r="CT135" s="34"/>
      <c r="CU135" s="34"/>
      <c r="CV135" s="34"/>
      <c r="CW135" s="34"/>
      <c r="CX135" s="34"/>
      <c r="CY135" s="34"/>
      <c r="CZ135" s="34"/>
      <c r="DA135" s="34"/>
      <c r="DB135" s="34"/>
      <c r="DC135" s="34"/>
      <c r="DD135" s="34"/>
      <c r="DE135" s="34"/>
      <c r="DF135" s="34"/>
      <c r="DG135" s="34"/>
      <c r="DH135" s="34"/>
      <c r="DI135" s="34"/>
      <c r="DJ135" s="34"/>
      <c r="DK135" s="34"/>
      <c r="DL135" s="34"/>
      <c r="DM135" s="34"/>
      <c r="DN135" s="34"/>
      <c r="DO135" s="34"/>
      <c r="DP135" s="34"/>
      <c r="DQ135" s="34"/>
      <c r="DR135" s="34"/>
      <c r="DS135" s="34"/>
      <c r="DT135" s="34"/>
      <c r="DU135" s="34"/>
      <c r="DV135" s="34"/>
      <c r="DW135" s="34"/>
      <c r="DX135" s="34"/>
      <c r="DY135" s="34"/>
      <c r="DZ135" s="34"/>
    </row>
    <row r="136" spans="1:130" x14ac:dyDescent="0.25">
      <c r="A136" s="34"/>
      <c r="B136" s="37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  <c r="CL136" s="34"/>
      <c r="CM136" s="34"/>
      <c r="CN136" s="34"/>
      <c r="CO136" s="34"/>
      <c r="CP136" s="34"/>
      <c r="CQ136" s="34"/>
      <c r="CR136" s="34"/>
      <c r="CS136" s="34"/>
      <c r="CT136" s="34"/>
      <c r="CU136" s="34"/>
      <c r="CV136" s="34"/>
      <c r="CW136" s="34"/>
      <c r="CX136" s="34"/>
      <c r="CY136" s="34"/>
      <c r="CZ136" s="34"/>
      <c r="DA136" s="34"/>
      <c r="DB136" s="34"/>
      <c r="DC136" s="34"/>
      <c r="DD136" s="34"/>
      <c r="DE136" s="34"/>
      <c r="DF136" s="34"/>
      <c r="DG136" s="34"/>
      <c r="DH136" s="34"/>
      <c r="DI136" s="34"/>
      <c r="DJ136" s="34"/>
      <c r="DK136" s="34"/>
      <c r="DL136" s="34"/>
      <c r="DM136" s="34"/>
      <c r="DN136" s="34"/>
      <c r="DO136" s="34"/>
      <c r="DP136" s="34"/>
      <c r="DQ136" s="34"/>
      <c r="DR136" s="34"/>
      <c r="DS136" s="34"/>
      <c r="DT136" s="34"/>
      <c r="DU136" s="34"/>
      <c r="DV136" s="34"/>
      <c r="DW136" s="34"/>
      <c r="DX136" s="34"/>
      <c r="DY136" s="34"/>
      <c r="DZ136" s="34"/>
    </row>
    <row r="137" spans="1:130" x14ac:dyDescent="0.25">
      <c r="A137" s="34"/>
      <c r="B137" s="37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  <c r="CL137" s="34"/>
      <c r="CM137" s="34"/>
      <c r="CN137" s="34"/>
      <c r="CO137" s="34"/>
      <c r="CP137" s="34"/>
      <c r="CQ137" s="34"/>
      <c r="CR137" s="34"/>
      <c r="CS137" s="34"/>
      <c r="CT137" s="34"/>
      <c r="CU137" s="34"/>
      <c r="CV137" s="34"/>
      <c r="CW137" s="34"/>
      <c r="CX137" s="34"/>
      <c r="CY137" s="34"/>
      <c r="CZ137" s="34"/>
      <c r="DA137" s="34"/>
      <c r="DB137" s="34"/>
      <c r="DC137" s="34"/>
      <c r="DD137" s="34"/>
      <c r="DE137" s="34"/>
      <c r="DF137" s="34"/>
      <c r="DG137" s="34"/>
      <c r="DH137" s="34"/>
      <c r="DI137" s="34"/>
      <c r="DJ137" s="34"/>
      <c r="DK137" s="34"/>
      <c r="DL137" s="34"/>
      <c r="DM137" s="34"/>
      <c r="DN137" s="34"/>
      <c r="DO137" s="34"/>
      <c r="DP137" s="34"/>
      <c r="DQ137" s="34"/>
      <c r="DR137" s="34"/>
      <c r="DS137" s="34"/>
      <c r="DT137" s="34"/>
      <c r="DU137" s="34"/>
      <c r="DV137" s="34"/>
      <c r="DW137" s="34"/>
      <c r="DX137" s="34"/>
      <c r="DY137" s="34"/>
      <c r="DZ137" s="34"/>
    </row>
    <row r="138" spans="1:130" x14ac:dyDescent="0.25">
      <c r="A138" s="34"/>
      <c r="B138" s="37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  <c r="CM138" s="34"/>
      <c r="CN138" s="34"/>
      <c r="CO138" s="34"/>
      <c r="CP138" s="34"/>
      <c r="CQ138" s="34"/>
      <c r="CR138" s="34"/>
      <c r="CS138" s="34"/>
      <c r="CT138" s="34"/>
      <c r="CU138" s="34"/>
      <c r="CV138" s="34"/>
      <c r="CW138" s="34"/>
      <c r="CX138" s="34"/>
      <c r="CY138" s="34"/>
      <c r="CZ138" s="34"/>
      <c r="DA138" s="34"/>
      <c r="DB138" s="34"/>
      <c r="DC138" s="34"/>
      <c r="DD138" s="34"/>
      <c r="DE138" s="34"/>
      <c r="DF138" s="34"/>
      <c r="DG138" s="34"/>
      <c r="DH138" s="34"/>
      <c r="DI138" s="34"/>
      <c r="DJ138" s="34"/>
      <c r="DK138" s="34"/>
      <c r="DL138" s="34"/>
      <c r="DM138" s="34"/>
      <c r="DN138" s="34"/>
      <c r="DO138" s="34"/>
      <c r="DP138" s="34"/>
      <c r="DQ138" s="34"/>
      <c r="DR138" s="34"/>
      <c r="DS138" s="34"/>
      <c r="DT138" s="34"/>
      <c r="DU138" s="34"/>
      <c r="DV138" s="34"/>
      <c r="DW138" s="34"/>
      <c r="DX138" s="34"/>
      <c r="DY138" s="34"/>
      <c r="DZ138" s="34"/>
    </row>
    <row r="139" spans="1:130" x14ac:dyDescent="0.25">
      <c r="A139" s="34"/>
      <c r="B139" s="37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  <c r="CM139" s="34"/>
      <c r="CN139" s="34"/>
      <c r="CO139" s="34"/>
      <c r="CP139" s="34"/>
      <c r="CQ139" s="34"/>
      <c r="CR139" s="34"/>
      <c r="CS139" s="34"/>
      <c r="CT139" s="34"/>
      <c r="CU139" s="34"/>
      <c r="CV139" s="34"/>
      <c r="CW139" s="34"/>
      <c r="CX139" s="34"/>
      <c r="CY139" s="34"/>
      <c r="CZ139" s="34"/>
      <c r="DA139" s="34"/>
      <c r="DB139" s="34"/>
      <c r="DC139" s="34"/>
      <c r="DD139" s="34"/>
      <c r="DE139" s="34"/>
      <c r="DF139" s="34"/>
      <c r="DG139" s="34"/>
      <c r="DH139" s="34"/>
      <c r="DI139" s="34"/>
      <c r="DJ139" s="34"/>
      <c r="DK139" s="34"/>
      <c r="DL139" s="34"/>
      <c r="DM139" s="34"/>
      <c r="DN139" s="34"/>
      <c r="DO139" s="34"/>
      <c r="DP139" s="34"/>
      <c r="DQ139" s="34"/>
      <c r="DR139" s="34"/>
      <c r="DS139" s="34"/>
      <c r="DT139" s="34"/>
      <c r="DU139" s="34"/>
      <c r="DV139" s="34"/>
      <c r="DW139" s="34"/>
      <c r="DX139" s="34"/>
      <c r="DY139" s="34"/>
      <c r="DZ139" s="34"/>
    </row>
    <row r="140" spans="1:130" x14ac:dyDescent="0.25">
      <c r="A140" s="34"/>
      <c r="B140" s="37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  <c r="CM140" s="34"/>
      <c r="CN140" s="34"/>
      <c r="CO140" s="34"/>
      <c r="CP140" s="34"/>
      <c r="CQ140" s="34"/>
      <c r="CR140" s="34"/>
      <c r="CS140" s="34"/>
      <c r="CT140" s="34"/>
      <c r="CU140" s="34"/>
      <c r="CV140" s="34"/>
      <c r="CW140" s="34"/>
      <c r="CX140" s="34"/>
      <c r="CY140" s="34"/>
      <c r="CZ140" s="34"/>
      <c r="DA140" s="34"/>
      <c r="DB140" s="34"/>
      <c r="DC140" s="34"/>
      <c r="DD140" s="34"/>
      <c r="DE140" s="34"/>
      <c r="DF140" s="34"/>
      <c r="DG140" s="34"/>
      <c r="DH140" s="34"/>
      <c r="DI140" s="34"/>
      <c r="DJ140" s="34"/>
      <c r="DK140" s="34"/>
      <c r="DL140" s="34"/>
      <c r="DM140" s="34"/>
      <c r="DN140" s="34"/>
      <c r="DO140" s="34"/>
      <c r="DP140" s="34"/>
      <c r="DQ140" s="34"/>
      <c r="DR140" s="34"/>
      <c r="DS140" s="34"/>
      <c r="DT140" s="34"/>
      <c r="DU140" s="34"/>
      <c r="DV140" s="34"/>
      <c r="DW140" s="34"/>
      <c r="DX140" s="34"/>
      <c r="DY140" s="34"/>
      <c r="DZ140" s="34"/>
    </row>
    <row r="141" spans="1:130" x14ac:dyDescent="0.25">
      <c r="A141" s="34"/>
      <c r="B141" s="37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  <c r="CM141" s="34"/>
      <c r="CN141" s="34"/>
      <c r="CO141" s="34"/>
      <c r="CP141" s="34"/>
      <c r="CQ141" s="34"/>
      <c r="CR141" s="34"/>
      <c r="CS141" s="34"/>
      <c r="CT141" s="34"/>
      <c r="CU141" s="34"/>
      <c r="CV141" s="34"/>
      <c r="CW141" s="34"/>
      <c r="CX141" s="34"/>
      <c r="CY141" s="34"/>
      <c r="CZ141" s="34"/>
      <c r="DA141" s="34"/>
      <c r="DB141" s="34"/>
      <c r="DC141" s="34"/>
      <c r="DD141" s="34"/>
      <c r="DE141" s="34"/>
      <c r="DF141" s="34"/>
      <c r="DG141" s="34"/>
      <c r="DH141" s="34"/>
      <c r="DI141" s="34"/>
      <c r="DJ141" s="34"/>
      <c r="DK141" s="34"/>
      <c r="DL141" s="34"/>
      <c r="DM141" s="34"/>
      <c r="DN141" s="34"/>
      <c r="DO141" s="34"/>
      <c r="DP141" s="34"/>
      <c r="DQ141" s="34"/>
      <c r="DR141" s="34"/>
      <c r="DS141" s="34"/>
      <c r="DT141" s="34"/>
      <c r="DU141" s="34"/>
      <c r="DV141" s="34"/>
      <c r="DW141" s="34"/>
      <c r="DX141" s="34"/>
      <c r="DY141" s="34"/>
      <c r="DZ141" s="34"/>
    </row>
    <row r="142" spans="1:130" x14ac:dyDescent="0.25">
      <c r="A142" s="34"/>
      <c r="B142" s="37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  <c r="CO142" s="34"/>
      <c r="CP142" s="34"/>
      <c r="CQ142" s="34"/>
      <c r="CR142" s="34"/>
      <c r="CS142" s="34"/>
      <c r="CT142" s="34"/>
      <c r="CU142" s="34"/>
      <c r="CV142" s="34"/>
      <c r="CW142" s="34"/>
      <c r="CX142" s="34"/>
      <c r="CY142" s="34"/>
      <c r="CZ142" s="34"/>
      <c r="DA142" s="34"/>
      <c r="DB142" s="34"/>
      <c r="DC142" s="34"/>
      <c r="DD142" s="34"/>
      <c r="DE142" s="34"/>
      <c r="DF142" s="34"/>
      <c r="DG142" s="34"/>
      <c r="DH142" s="34"/>
      <c r="DI142" s="34"/>
      <c r="DJ142" s="34"/>
      <c r="DK142" s="34"/>
      <c r="DL142" s="34"/>
      <c r="DM142" s="34"/>
      <c r="DN142" s="34"/>
      <c r="DO142" s="34"/>
      <c r="DP142" s="34"/>
      <c r="DQ142" s="34"/>
      <c r="DR142" s="34"/>
      <c r="DS142" s="34"/>
      <c r="DT142" s="34"/>
      <c r="DU142" s="34"/>
      <c r="DV142" s="34"/>
      <c r="DW142" s="34"/>
      <c r="DX142" s="34"/>
      <c r="DY142" s="34"/>
      <c r="DZ142" s="34"/>
    </row>
    <row r="143" spans="1:130" x14ac:dyDescent="0.25">
      <c r="A143" s="34"/>
      <c r="B143" s="37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  <c r="CO143" s="34"/>
      <c r="CP143" s="34"/>
      <c r="CQ143" s="34"/>
      <c r="CR143" s="34"/>
      <c r="CS143" s="34"/>
      <c r="CT143" s="34"/>
      <c r="CU143" s="34"/>
      <c r="CV143" s="34"/>
      <c r="CW143" s="34"/>
      <c r="CX143" s="34"/>
      <c r="CY143" s="34"/>
      <c r="CZ143" s="34"/>
      <c r="DA143" s="34"/>
      <c r="DB143" s="34"/>
      <c r="DC143" s="34"/>
      <c r="DD143" s="34"/>
      <c r="DE143" s="34"/>
      <c r="DF143" s="34"/>
      <c r="DG143" s="34"/>
      <c r="DH143" s="34"/>
      <c r="DI143" s="34"/>
      <c r="DJ143" s="34"/>
      <c r="DK143" s="34"/>
      <c r="DL143" s="34"/>
      <c r="DM143" s="34"/>
      <c r="DN143" s="34"/>
      <c r="DO143" s="34"/>
      <c r="DP143" s="34"/>
      <c r="DQ143" s="34"/>
      <c r="DR143" s="34"/>
      <c r="DS143" s="34"/>
      <c r="DT143" s="34"/>
      <c r="DU143" s="34"/>
      <c r="DV143" s="34"/>
      <c r="DW143" s="34"/>
      <c r="DX143" s="34"/>
      <c r="DY143" s="34"/>
      <c r="DZ143" s="34"/>
    </row>
    <row r="144" spans="1:130" x14ac:dyDescent="0.25">
      <c r="A144" s="34"/>
      <c r="B144" s="37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  <c r="CO144" s="34"/>
      <c r="CP144" s="34"/>
      <c r="CQ144" s="34"/>
      <c r="CR144" s="34"/>
      <c r="CS144" s="34"/>
      <c r="CT144" s="34"/>
      <c r="CU144" s="34"/>
      <c r="CV144" s="34"/>
      <c r="CW144" s="34"/>
      <c r="CX144" s="34"/>
      <c r="CY144" s="34"/>
      <c r="CZ144" s="34"/>
      <c r="DA144" s="34"/>
      <c r="DB144" s="34"/>
      <c r="DC144" s="34"/>
      <c r="DD144" s="34"/>
      <c r="DE144" s="34"/>
      <c r="DF144" s="34"/>
      <c r="DG144" s="34"/>
      <c r="DH144" s="34"/>
      <c r="DI144" s="34"/>
      <c r="DJ144" s="34"/>
      <c r="DK144" s="34"/>
      <c r="DL144" s="34"/>
      <c r="DM144" s="34"/>
      <c r="DN144" s="34"/>
      <c r="DO144" s="34"/>
      <c r="DP144" s="34"/>
      <c r="DQ144" s="34"/>
      <c r="DR144" s="34"/>
      <c r="DS144" s="34"/>
      <c r="DT144" s="34"/>
      <c r="DU144" s="34"/>
      <c r="DV144" s="34"/>
      <c r="DW144" s="34"/>
      <c r="DX144" s="34"/>
      <c r="DY144" s="34"/>
      <c r="DZ144" s="34"/>
    </row>
    <row r="145" spans="1:130" x14ac:dyDescent="0.25">
      <c r="A145" s="34"/>
      <c r="B145" s="37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  <c r="CO145" s="34"/>
      <c r="CP145" s="34"/>
      <c r="CQ145" s="34"/>
      <c r="CR145" s="34"/>
      <c r="CS145" s="34"/>
      <c r="CT145" s="34"/>
      <c r="CU145" s="34"/>
      <c r="CV145" s="34"/>
      <c r="CW145" s="34"/>
      <c r="CX145" s="34"/>
      <c r="CY145" s="34"/>
      <c r="CZ145" s="34"/>
      <c r="DA145" s="34"/>
      <c r="DB145" s="34"/>
      <c r="DC145" s="34"/>
      <c r="DD145" s="34"/>
      <c r="DE145" s="34"/>
      <c r="DF145" s="34"/>
      <c r="DG145" s="34"/>
      <c r="DH145" s="34"/>
      <c r="DI145" s="34"/>
      <c r="DJ145" s="34"/>
      <c r="DK145" s="34"/>
      <c r="DL145" s="34"/>
      <c r="DM145" s="34"/>
      <c r="DN145" s="34"/>
      <c r="DO145" s="34"/>
      <c r="DP145" s="34"/>
      <c r="DQ145" s="34"/>
      <c r="DR145" s="34"/>
      <c r="DS145" s="34"/>
      <c r="DT145" s="34"/>
      <c r="DU145" s="34"/>
      <c r="DV145" s="34"/>
      <c r="DW145" s="34"/>
      <c r="DX145" s="34"/>
      <c r="DY145" s="34"/>
      <c r="DZ145" s="34"/>
    </row>
    <row r="146" spans="1:130" x14ac:dyDescent="0.25">
      <c r="A146" s="34"/>
      <c r="B146" s="37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  <c r="CO146" s="34"/>
      <c r="CP146" s="34"/>
      <c r="CQ146" s="34"/>
      <c r="CR146" s="34"/>
      <c r="CS146" s="34"/>
      <c r="CT146" s="34"/>
      <c r="CU146" s="34"/>
      <c r="CV146" s="34"/>
      <c r="CW146" s="34"/>
      <c r="CX146" s="34"/>
      <c r="CY146" s="34"/>
      <c r="CZ146" s="34"/>
      <c r="DA146" s="34"/>
      <c r="DB146" s="34"/>
      <c r="DC146" s="34"/>
      <c r="DD146" s="34"/>
      <c r="DE146" s="34"/>
      <c r="DF146" s="34"/>
      <c r="DG146" s="34"/>
      <c r="DH146" s="34"/>
      <c r="DI146" s="34"/>
      <c r="DJ146" s="34"/>
      <c r="DK146" s="34"/>
      <c r="DL146" s="34"/>
      <c r="DM146" s="34"/>
      <c r="DN146" s="34"/>
      <c r="DO146" s="34"/>
      <c r="DP146" s="34"/>
      <c r="DQ146" s="34"/>
      <c r="DR146" s="34"/>
      <c r="DS146" s="34"/>
      <c r="DT146" s="34"/>
      <c r="DU146" s="34"/>
      <c r="DV146" s="34"/>
      <c r="DW146" s="34"/>
      <c r="DX146" s="34"/>
      <c r="DY146" s="34"/>
      <c r="DZ146" s="34"/>
    </row>
    <row r="147" spans="1:130" x14ac:dyDescent="0.25">
      <c r="A147" s="34"/>
      <c r="B147" s="37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  <c r="CM147" s="34"/>
      <c r="CN147" s="34"/>
      <c r="CO147" s="34"/>
      <c r="CP147" s="34"/>
      <c r="CQ147" s="34"/>
      <c r="CR147" s="34"/>
      <c r="CS147" s="34"/>
      <c r="CT147" s="34"/>
      <c r="CU147" s="34"/>
      <c r="CV147" s="34"/>
      <c r="CW147" s="34"/>
      <c r="CX147" s="34"/>
      <c r="CY147" s="34"/>
      <c r="CZ147" s="34"/>
      <c r="DA147" s="34"/>
      <c r="DB147" s="34"/>
      <c r="DC147" s="34"/>
      <c r="DD147" s="34"/>
      <c r="DE147" s="34"/>
      <c r="DF147" s="34"/>
      <c r="DG147" s="34"/>
      <c r="DH147" s="34"/>
      <c r="DI147" s="34"/>
      <c r="DJ147" s="34"/>
      <c r="DK147" s="34"/>
      <c r="DL147" s="34"/>
      <c r="DM147" s="34"/>
      <c r="DN147" s="34"/>
      <c r="DO147" s="34"/>
      <c r="DP147" s="34"/>
      <c r="DQ147" s="34"/>
      <c r="DR147" s="34"/>
      <c r="DS147" s="34"/>
      <c r="DT147" s="34"/>
      <c r="DU147" s="34"/>
      <c r="DV147" s="34"/>
      <c r="DW147" s="34"/>
      <c r="DX147" s="34"/>
      <c r="DY147" s="34"/>
      <c r="DZ147" s="34"/>
    </row>
    <row r="148" spans="1:130" x14ac:dyDescent="0.25">
      <c r="A148" s="34"/>
      <c r="B148" s="37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  <c r="CO148" s="34"/>
      <c r="CP148" s="34"/>
      <c r="CQ148" s="34"/>
      <c r="CR148" s="34"/>
      <c r="CS148" s="34"/>
      <c r="CT148" s="34"/>
      <c r="CU148" s="34"/>
      <c r="CV148" s="34"/>
      <c r="CW148" s="34"/>
      <c r="CX148" s="34"/>
      <c r="CY148" s="34"/>
      <c r="CZ148" s="34"/>
      <c r="DA148" s="34"/>
      <c r="DB148" s="34"/>
      <c r="DC148" s="34"/>
      <c r="DD148" s="34"/>
      <c r="DE148" s="34"/>
      <c r="DF148" s="34"/>
      <c r="DG148" s="34"/>
      <c r="DH148" s="34"/>
      <c r="DI148" s="34"/>
      <c r="DJ148" s="34"/>
      <c r="DK148" s="34"/>
      <c r="DL148" s="34"/>
      <c r="DM148" s="34"/>
      <c r="DN148" s="34"/>
      <c r="DO148" s="34"/>
      <c r="DP148" s="34"/>
      <c r="DQ148" s="34"/>
      <c r="DR148" s="34"/>
      <c r="DS148" s="34"/>
      <c r="DT148" s="34"/>
      <c r="DU148" s="34"/>
      <c r="DV148" s="34"/>
      <c r="DW148" s="34"/>
      <c r="DX148" s="34"/>
      <c r="DY148" s="34"/>
      <c r="DZ148" s="34"/>
    </row>
    <row r="149" spans="1:130" x14ac:dyDescent="0.25">
      <c r="A149" s="34"/>
      <c r="B149" s="37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  <c r="CO149" s="34"/>
      <c r="CP149" s="34"/>
      <c r="CQ149" s="34"/>
      <c r="CR149" s="34"/>
      <c r="CS149" s="34"/>
      <c r="CT149" s="34"/>
      <c r="CU149" s="34"/>
      <c r="CV149" s="34"/>
      <c r="CW149" s="34"/>
      <c r="CX149" s="34"/>
      <c r="CY149" s="34"/>
      <c r="CZ149" s="34"/>
      <c r="DA149" s="34"/>
      <c r="DB149" s="34"/>
      <c r="DC149" s="34"/>
      <c r="DD149" s="34"/>
      <c r="DE149" s="34"/>
      <c r="DF149" s="34"/>
      <c r="DG149" s="34"/>
      <c r="DH149" s="34"/>
      <c r="DI149" s="34"/>
      <c r="DJ149" s="34"/>
      <c r="DK149" s="34"/>
      <c r="DL149" s="34"/>
      <c r="DM149" s="34"/>
      <c r="DN149" s="34"/>
      <c r="DO149" s="34"/>
      <c r="DP149" s="34"/>
      <c r="DQ149" s="34"/>
      <c r="DR149" s="34"/>
      <c r="DS149" s="34"/>
      <c r="DT149" s="34"/>
      <c r="DU149" s="34"/>
      <c r="DV149" s="34"/>
      <c r="DW149" s="34"/>
      <c r="DX149" s="34"/>
      <c r="DY149" s="34"/>
      <c r="DZ149" s="34"/>
    </row>
    <row r="150" spans="1:130" x14ac:dyDescent="0.25">
      <c r="A150" s="34"/>
      <c r="B150" s="37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4"/>
      <c r="CT150" s="34"/>
      <c r="CU150" s="34"/>
      <c r="CV150" s="34"/>
      <c r="CW150" s="34"/>
      <c r="CX150" s="34"/>
      <c r="CY150" s="34"/>
      <c r="CZ150" s="34"/>
      <c r="DA150" s="34"/>
      <c r="DB150" s="34"/>
      <c r="DC150" s="34"/>
      <c r="DD150" s="34"/>
      <c r="DE150" s="34"/>
      <c r="DF150" s="34"/>
      <c r="DG150" s="34"/>
      <c r="DH150" s="34"/>
      <c r="DI150" s="34"/>
      <c r="DJ150" s="34"/>
      <c r="DK150" s="34"/>
      <c r="DL150" s="34"/>
      <c r="DM150" s="34"/>
      <c r="DN150" s="34"/>
      <c r="DO150" s="34"/>
      <c r="DP150" s="34"/>
      <c r="DQ150" s="34"/>
      <c r="DR150" s="34"/>
      <c r="DS150" s="34"/>
      <c r="DT150" s="34"/>
      <c r="DU150" s="34"/>
      <c r="DV150" s="34"/>
      <c r="DW150" s="34"/>
      <c r="DX150" s="34"/>
      <c r="DY150" s="34"/>
      <c r="DZ150" s="34"/>
    </row>
    <row r="151" spans="1:130" x14ac:dyDescent="0.25">
      <c r="A151" s="34"/>
      <c r="B151" s="37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  <c r="CM151" s="34"/>
      <c r="CN151" s="34"/>
      <c r="CO151" s="34"/>
      <c r="CP151" s="34"/>
      <c r="CQ151" s="34"/>
      <c r="CR151" s="34"/>
      <c r="CS151" s="34"/>
      <c r="CT151" s="34"/>
      <c r="CU151" s="34"/>
      <c r="CV151" s="34"/>
      <c r="CW151" s="34"/>
      <c r="CX151" s="34"/>
      <c r="CY151" s="34"/>
      <c r="CZ151" s="34"/>
      <c r="DA151" s="34"/>
      <c r="DB151" s="34"/>
      <c r="DC151" s="34"/>
      <c r="DD151" s="34"/>
      <c r="DE151" s="34"/>
      <c r="DF151" s="34"/>
      <c r="DG151" s="34"/>
      <c r="DH151" s="34"/>
      <c r="DI151" s="34"/>
      <c r="DJ151" s="34"/>
      <c r="DK151" s="34"/>
      <c r="DL151" s="34"/>
      <c r="DM151" s="34"/>
      <c r="DN151" s="34"/>
      <c r="DO151" s="34"/>
      <c r="DP151" s="34"/>
      <c r="DQ151" s="34"/>
      <c r="DR151" s="34"/>
      <c r="DS151" s="34"/>
      <c r="DT151" s="34"/>
      <c r="DU151" s="34"/>
      <c r="DV151" s="34"/>
      <c r="DW151" s="34"/>
      <c r="DX151" s="34"/>
      <c r="DY151" s="34"/>
      <c r="DZ151" s="34"/>
    </row>
    <row r="152" spans="1:130" x14ac:dyDescent="0.25">
      <c r="A152" s="34"/>
      <c r="B152" s="37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  <c r="CM152" s="34"/>
      <c r="CN152" s="34"/>
      <c r="CO152" s="34"/>
      <c r="CP152" s="34"/>
      <c r="CQ152" s="34"/>
      <c r="CR152" s="34"/>
      <c r="CS152" s="34"/>
      <c r="CT152" s="34"/>
      <c r="CU152" s="34"/>
      <c r="CV152" s="34"/>
      <c r="CW152" s="34"/>
      <c r="CX152" s="34"/>
      <c r="CY152" s="34"/>
      <c r="CZ152" s="34"/>
      <c r="DA152" s="34"/>
      <c r="DB152" s="34"/>
      <c r="DC152" s="34"/>
      <c r="DD152" s="34"/>
      <c r="DE152" s="34"/>
      <c r="DF152" s="34"/>
      <c r="DG152" s="34"/>
      <c r="DH152" s="34"/>
      <c r="DI152" s="34"/>
      <c r="DJ152" s="34"/>
      <c r="DK152" s="34"/>
      <c r="DL152" s="34"/>
      <c r="DM152" s="34"/>
      <c r="DN152" s="34"/>
      <c r="DO152" s="34"/>
      <c r="DP152" s="34"/>
      <c r="DQ152" s="34"/>
      <c r="DR152" s="34"/>
      <c r="DS152" s="34"/>
      <c r="DT152" s="34"/>
      <c r="DU152" s="34"/>
      <c r="DV152" s="34"/>
      <c r="DW152" s="34"/>
      <c r="DX152" s="34"/>
      <c r="DY152" s="34"/>
      <c r="DZ152" s="34"/>
    </row>
    <row r="153" spans="1:130" x14ac:dyDescent="0.25">
      <c r="A153" s="34"/>
      <c r="B153" s="37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  <c r="CM153" s="34"/>
      <c r="CN153" s="34"/>
      <c r="CO153" s="34"/>
      <c r="CP153" s="34"/>
      <c r="CQ153" s="34"/>
      <c r="CR153" s="34"/>
      <c r="CS153" s="34"/>
      <c r="CT153" s="34"/>
      <c r="CU153" s="34"/>
      <c r="CV153" s="34"/>
      <c r="CW153" s="34"/>
      <c r="CX153" s="34"/>
      <c r="CY153" s="34"/>
      <c r="CZ153" s="34"/>
      <c r="DA153" s="34"/>
      <c r="DB153" s="34"/>
      <c r="DC153" s="34"/>
      <c r="DD153" s="34"/>
      <c r="DE153" s="34"/>
      <c r="DF153" s="34"/>
      <c r="DG153" s="34"/>
      <c r="DH153" s="34"/>
      <c r="DI153" s="34"/>
      <c r="DJ153" s="34"/>
      <c r="DK153" s="34"/>
      <c r="DL153" s="34"/>
      <c r="DM153" s="34"/>
      <c r="DN153" s="34"/>
      <c r="DO153" s="34"/>
      <c r="DP153" s="34"/>
      <c r="DQ153" s="34"/>
      <c r="DR153" s="34"/>
      <c r="DS153" s="34"/>
      <c r="DT153" s="34"/>
      <c r="DU153" s="34"/>
      <c r="DV153" s="34"/>
      <c r="DW153" s="34"/>
      <c r="DX153" s="34"/>
      <c r="DY153" s="34"/>
      <c r="DZ153" s="34"/>
    </row>
    <row r="154" spans="1:130" x14ac:dyDescent="0.25">
      <c r="A154" s="34"/>
      <c r="B154" s="37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  <c r="CM154" s="34"/>
      <c r="CN154" s="34"/>
      <c r="CO154" s="34"/>
      <c r="CP154" s="34"/>
      <c r="CQ154" s="34"/>
      <c r="CR154" s="34"/>
      <c r="CS154" s="34"/>
      <c r="CT154" s="34"/>
      <c r="CU154" s="34"/>
      <c r="CV154" s="34"/>
      <c r="CW154" s="34"/>
      <c r="CX154" s="34"/>
      <c r="CY154" s="34"/>
      <c r="CZ154" s="34"/>
      <c r="DA154" s="34"/>
      <c r="DB154" s="34"/>
      <c r="DC154" s="34"/>
      <c r="DD154" s="34"/>
      <c r="DE154" s="34"/>
      <c r="DF154" s="34"/>
      <c r="DG154" s="34"/>
      <c r="DH154" s="34"/>
      <c r="DI154" s="34"/>
      <c r="DJ154" s="34"/>
      <c r="DK154" s="34"/>
      <c r="DL154" s="34"/>
      <c r="DM154" s="34"/>
      <c r="DN154" s="34"/>
      <c r="DO154" s="34"/>
      <c r="DP154" s="34"/>
      <c r="DQ154" s="34"/>
      <c r="DR154" s="34"/>
      <c r="DS154" s="34"/>
      <c r="DT154" s="34"/>
      <c r="DU154" s="34"/>
      <c r="DV154" s="34"/>
      <c r="DW154" s="34"/>
      <c r="DX154" s="34"/>
      <c r="DY154" s="34"/>
      <c r="DZ154" s="34"/>
    </row>
    <row r="155" spans="1:130" x14ac:dyDescent="0.25">
      <c r="A155" s="34"/>
      <c r="B155" s="37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  <c r="CM155" s="34"/>
      <c r="CN155" s="34"/>
      <c r="CO155" s="34"/>
      <c r="CP155" s="34"/>
      <c r="CQ155" s="34"/>
      <c r="CR155" s="34"/>
      <c r="CS155" s="34"/>
      <c r="CT155" s="34"/>
      <c r="CU155" s="34"/>
      <c r="CV155" s="34"/>
      <c r="CW155" s="34"/>
      <c r="CX155" s="34"/>
      <c r="CY155" s="34"/>
      <c r="CZ155" s="34"/>
      <c r="DA155" s="34"/>
      <c r="DB155" s="34"/>
      <c r="DC155" s="34"/>
      <c r="DD155" s="34"/>
      <c r="DE155" s="34"/>
      <c r="DF155" s="34"/>
      <c r="DG155" s="34"/>
      <c r="DH155" s="34"/>
      <c r="DI155" s="34"/>
      <c r="DJ155" s="34"/>
      <c r="DK155" s="34"/>
      <c r="DL155" s="34"/>
      <c r="DM155" s="34"/>
      <c r="DN155" s="34"/>
      <c r="DO155" s="34"/>
      <c r="DP155" s="34"/>
      <c r="DQ155" s="34"/>
      <c r="DR155" s="34"/>
      <c r="DS155" s="34"/>
      <c r="DT155" s="34"/>
      <c r="DU155" s="34"/>
      <c r="DV155" s="34"/>
      <c r="DW155" s="34"/>
      <c r="DX155" s="34"/>
      <c r="DY155" s="34"/>
      <c r="DZ155" s="34"/>
    </row>
    <row r="156" spans="1:130" x14ac:dyDescent="0.25">
      <c r="A156" s="34"/>
      <c r="B156" s="37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  <c r="CM156" s="34"/>
      <c r="CN156" s="34"/>
      <c r="CO156" s="34"/>
      <c r="CP156" s="34"/>
      <c r="CQ156" s="34"/>
      <c r="CR156" s="34"/>
      <c r="CS156" s="34"/>
      <c r="CT156" s="34"/>
      <c r="CU156" s="34"/>
      <c r="CV156" s="34"/>
      <c r="CW156" s="34"/>
      <c r="CX156" s="34"/>
      <c r="CY156" s="34"/>
      <c r="CZ156" s="34"/>
      <c r="DA156" s="34"/>
      <c r="DB156" s="34"/>
      <c r="DC156" s="34"/>
      <c r="DD156" s="34"/>
      <c r="DE156" s="34"/>
      <c r="DF156" s="34"/>
      <c r="DG156" s="34"/>
      <c r="DH156" s="34"/>
      <c r="DI156" s="34"/>
      <c r="DJ156" s="34"/>
      <c r="DK156" s="34"/>
      <c r="DL156" s="34"/>
      <c r="DM156" s="34"/>
      <c r="DN156" s="34"/>
      <c r="DO156" s="34"/>
      <c r="DP156" s="34"/>
      <c r="DQ156" s="34"/>
      <c r="DR156" s="34"/>
      <c r="DS156" s="34"/>
      <c r="DT156" s="34"/>
      <c r="DU156" s="34"/>
      <c r="DV156" s="34"/>
      <c r="DW156" s="34"/>
      <c r="DX156" s="34"/>
      <c r="DY156" s="34"/>
      <c r="DZ156" s="34"/>
    </row>
    <row r="157" spans="1:130" x14ac:dyDescent="0.25">
      <c r="A157" s="34"/>
      <c r="B157" s="37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  <c r="CM157" s="34"/>
      <c r="CN157" s="34"/>
      <c r="CO157" s="34"/>
      <c r="CP157" s="34"/>
      <c r="CQ157" s="34"/>
      <c r="CR157" s="34"/>
      <c r="CS157" s="34"/>
      <c r="CT157" s="34"/>
      <c r="CU157" s="34"/>
      <c r="CV157" s="34"/>
      <c r="CW157" s="34"/>
      <c r="CX157" s="34"/>
      <c r="CY157" s="34"/>
      <c r="CZ157" s="34"/>
      <c r="DA157" s="34"/>
      <c r="DB157" s="34"/>
      <c r="DC157" s="34"/>
      <c r="DD157" s="34"/>
      <c r="DE157" s="34"/>
      <c r="DF157" s="34"/>
      <c r="DG157" s="34"/>
      <c r="DH157" s="34"/>
      <c r="DI157" s="34"/>
      <c r="DJ157" s="34"/>
      <c r="DK157" s="34"/>
      <c r="DL157" s="34"/>
      <c r="DM157" s="34"/>
      <c r="DN157" s="34"/>
      <c r="DO157" s="34"/>
      <c r="DP157" s="34"/>
      <c r="DQ157" s="34"/>
      <c r="DR157" s="34"/>
      <c r="DS157" s="34"/>
      <c r="DT157" s="34"/>
      <c r="DU157" s="34"/>
      <c r="DV157" s="34"/>
      <c r="DW157" s="34"/>
      <c r="DX157" s="34"/>
      <c r="DY157" s="34"/>
      <c r="DZ157" s="34"/>
    </row>
    <row r="158" spans="1:130" x14ac:dyDescent="0.25">
      <c r="A158" s="34"/>
      <c r="B158" s="37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  <c r="CF158" s="34"/>
      <c r="CG158" s="34"/>
      <c r="CH158" s="34"/>
      <c r="CI158" s="34"/>
      <c r="CJ158" s="34"/>
      <c r="CK158" s="34"/>
      <c r="CL158" s="34"/>
      <c r="CM158" s="34"/>
      <c r="CN158" s="34"/>
      <c r="CO158" s="34"/>
      <c r="CP158" s="34"/>
      <c r="CQ158" s="34"/>
      <c r="CR158" s="34"/>
      <c r="CS158" s="34"/>
      <c r="CT158" s="34"/>
      <c r="CU158" s="34"/>
      <c r="CV158" s="34"/>
      <c r="CW158" s="34"/>
      <c r="CX158" s="34"/>
      <c r="CY158" s="34"/>
      <c r="CZ158" s="34"/>
      <c r="DA158" s="34"/>
      <c r="DB158" s="34"/>
      <c r="DC158" s="34"/>
      <c r="DD158" s="34"/>
      <c r="DE158" s="34"/>
      <c r="DF158" s="34"/>
      <c r="DG158" s="34"/>
      <c r="DH158" s="34"/>
      <c r="DI158" s="34"/>
      <c r="DJ158" s="34"/>
      <c r="DK158" s="34"/>
      <c r="DL158" s="34"/>
      <c r="DM158" s="34"/>
      <c r="DN158" s="34"/>
      <c r="DO158" s="34"/>
      <c r="DP158" s="34"/>
      <c r="DQ158" s="34"/>
      <c r="DR158" s="34"/>
      <c r="DS158" s="34"/>
      <c r="DT158" s="34"/>
      <c r="DU158" s="34"/>
      <c r="DV158" s="34"/>
      <c r="DW158" s="34"/>
      <c r="DX158" s="34"/>
      <c r="DY158" s="34"/>
      <c r="DZ158" s="34"/>
    </row>
    <row r="159" spans="1:130" x14ac:dyDescent="0.25">
      <c r="A159" s="34"/>
      <c r="B159" s="37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  <c r="CM159" s="34"/>
      <c r="CN159" s="34"/>
      <c r="CO159" s="34"/>
      <c r="CP159" s="34"/>
      <c r="CQ159" s="34"/>
      <c r="CR159" s="34"/>
      <c r="CS159" s="34"/>
      <c r="CT159" s="34"/>
      <c r="CU159" s="34"/>
      <c r="CV159" s="34"/>
      <c r="CW159" s="34"/>
      <c r="CX159" s="34"/>
      <c r="CY159" s="34"/>
      <c r="CZ159" s="34"/>
      <c r="DA159" s="34"/>
      <c r="DB159" s="34"/>
      <c r="DC159" s="34"/>
      <c r="DD159" s="34"/>
      <c r="DE159" s="34"/>
      <c r="DF159" s="34"/>
      <c r="DG159" s="34"/>
      <c r="DH159" s="34"/>
      <c r="DI159" s="34"/>
      <c r="DJ159" s="34"/>
      <c r="DK159" s="34"/>
      <c r="DL159" s="34"/>
      <c r="DM159" s="34"/>
      <c r="DN159" s="34"/>
      <c r="DO159" s="34"/>
      <c r="DP159" s="34"/>
      <c r="DQ159" s="34"/>
      <c r="DR159" s="34"/>
      <c r="DS159" s="34"/>
      <c r="DT159" s="34"/>
      <c r="DU159" s="34"/>
      <c r="DV159" s="34"/>
      <c r="DW159" s="34"/>
      <c r="DX159" s="34"/>
      <c r="DY159" s="34"/>
      <c r="DZ159" s="34"/>
    </row>
    <row r="160" spans="1:130" x14ac:dyDescent="0.25">
      <c r="A160" s="34"/>
      <c r="B160" s="37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  <c r="CH160" s="34"/>
      <c r="CI160" s="34"/>
      <c r="CJ160" s="34"/>
      <c r="CK160" s="34"/>
      <c r="CL160" s="34"/>
      <c r="CM160" s="34"/>
      <c r="CN160" s="34"/>
      <c r="CO160" s="34"/>
      <c r="CP160" s="34"/>
      <c r="CQ160" s="34"/>
      <c r="CR160" s="34"/>
      <c r="CS160" s="34"/>
      <c r="CT160" s="34"/>
      <c r="CU160" s="34"/>
      <c r="CV160" s="34"/>
      <c r="CW160" s="34"/>
      <c r="CX160" s="34"/>
      <c r="CY160" s="34"/>
      <c r="CZ160" s="34"/>
      <c r="DA160" s="34"/>
      <c r="DB160" s="34"/>
      <c r="DC160" s="34"/>
      <c r="DD160" s="34"/>
      <c r="DE160" s="34"/>
      <c r="DF160" s="34"/>
      <c r="DG160" s="34"/>
      <c r="DH160" s="34"/>
      <c r="DI160" s="34"/>
      <c r="DJ160" s="34"/>
      <c r="DK160" s="34"/>
      <c r="DL160" s="34"/>
      <c r="DM160" s="34"/>
      <c r="DN160" s="34"/>
      <c r="DO160" s="34"/>
      <c r="DP160" s="34"/>
      <c r="DQ160" s="34"/>
      <c r="DR160" s="34"/>
      <c r="DS160" s="34"/>
      <c r="DT160" s="34"/>
      <c r="DU160" s="34"/>
      <c r="DV160" s="34"/>
      <c r="DW160" s="34"/>
      <c r="DX160" s="34"/>
      <c r="DY160" s="34"/>
      <c r="DZ160" s="34"/>
    </row>
    <row r="161" spans="1:130" x14ac:dyDescent="0.25">
      <c r="A161" s="34"/>
      <c r="B161" s="37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  <c r="CE161" s="34"/>
      <c r="CF161" s="34"/>
      <c r="CG161" s="34"/>
      <c r="CH161" s="34"/>
      <c r="CI161" s="34"/>
      <c r="CJ161" s="34"/>
      <c r="CK161" s="34"/>
      <c r="CL161" s="34"/>
      <c r="CM161" s="34"/>
      <c r="CN161" s="34"/>
      <c r="CO161" s="34"/>
      <c r="CP161" s="34"/>
      <c r="CQ161" s="34"/>
      <c r="CR161" s="34"/>
      <c r="CS161" s="34"/>
      <c r="CT161" s="34"/>
      <c r="CU161" s="34"/>
      <c r="CV161" s="34"/>
      <c r="CW161" s="34"/>
      <c r="CX161" s="34"/>
      <c r="CY161" s="34"/>
      <c r="CZ161" s="34"/>
      <c r="DA161" s="34"/>
      <c r="DB161" s="34"/>
      <c r="DC161" s="34"/>
      <c r="DD161" s="34"/>
      <c r="DE161" s="34"/>
      <c r="DF161" s="34"/>
      <c r="DG161" s="34"/>
      <c r="DH161" s="34"/>
      <c r="DI161" s="34"/>
      <c r="DJ161" s="34"/>
      <c r="DK161" s="34"/>
      <c r="DL161" s="34"/>
      <c r="DM161" s="34"/>
      <c r="DN161" s="34"/>
      <c r="DO161" s="34"/>
      <c r="DP161" s="34"/>
      <c r="DQ161" s="34"/>
      <c r="DR161" s="34"/>
      <c r="DS161" s="34"/>
      <c r="DT161" s="34"/>
      <c r="DU161" s="34"/>
      <c r="DV161" s="34"/>
      <c r="DW161" s="34"/>
      <c r="DX161" s="34"/>
      <c r="DY161" s="34"/>
      <c r="DZ161" s="34"/>
    </row>
    <row r="162" spans="1:130" x14ac:dyDescent="0.25">
      <c r="A162" s="34"/>
      <c r="B162" s="37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  <c r="CM162" s="34"/>
      <c r="CN162" s="34"/>
      <c r="CO162" s="34"/>
      <c r="CP162" s="34"/>
      <c r="CQ162" s="34"/>
      <c r="CR162" s="34"/>
      <c r="CS162" s="34"/>
      <c r="CT162" s="34"/>
      <c r="CU162" s="34"/>
      <c r="CV162" s="34"/>
      <c r="CW162" s="34"/>
      <c r="CX162" s="34"/>
      <c r="CY162" s="34"/>
      <c r="CZ162" s="34"/>
      <c r="DA162" s="34"/>
      <c r="DB162" s="34"/>
      <c r="DC162" s="34"/>
      <c r="DD162" s="34"/>
      <c r="DE162" s="34"/>
      <c r="DF162" s="34"/>
      <c r="DG162" s="34"/>
      <c r="DH162" s="34"/>
      <c r="DI162" s="34"/>
      <c r="DJ162" s="34"/>
      <c r="DK162" s="34"/>
      <c r="DL162" s="34"/>
      <c r="DM162" s="34"/>
      <c r="DN162" s="34"/>
      <c r="DO162" s="34"/>
      <c r="DP162" s="34"/>
      <c r="DQ162" s="34"/>
      <c r="DR162" s="34"/>
      <c r="DS162" s="34"/>
      <c r="DT162" s="34"/>
      <c r="DU162" s="34"/>
      <c r="DV162" s="34"/>
      <c r="DW162" s="34"/>
      <c r="DX162" s="34"/>
      <c r="DY162" s="34"/>
      <c r="DZ162" s="34"/>
    </row>
    <row r="163" spans="1:130" x14ac:dyDescent="0.25">
      <c r="A163" s="34"/>
      <c r="B163" s="37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  <c r="CE163" s="34"/>
      <c r="CF163" s="34"/>
      <c r="CG163" s="34"/>
      <c r="CH163" s="34"/>
      <c r="CI163" s="34"/>
      <c r="CJ163" s="34"/>
      <c r="CK163" s="34"/>
      <c r="CL163" s="34"/>
      <c r="CM163" s="34"/>
      <c r="CN163" s="34"/>
      <c r="CO163" s="34"/>
      <c r="CP163" s="34"/>
      <c r="CQ163" s="34"/>
      <c r="CR163" s="34"/>
      <c r="CS163" s="34"/>
      <c r="CT163" s="34"/>
      <c r="CU163" s="34"/>
      <c r="CV163" s="34"/>
      <c r="CW163" s="34"/>
      <c r="CX163" s="34"/>
      <c r="CY163" s="34"/>
      <c r="CZ163" s="34"/>
      <c r="DA163" s="34"/>
      <c r="DB163" s="34"/>
      <c r="DC163" s="34"/>
      <c r="DD163" s="34"/>
      <c r="DE163" s="34"/>
      <c r="DF163" s="34"/>
      <c r="DG163" s="34"/>
      <c r="DH163" s="34"/>
      <c r="DI163" s="34"/>
      <c r="DJ163" s="34"/>
      <c r="DK163" s="34"/>
      <c r="DL163" s="34"/>
      <c r="DM163" s="34"/>
      <c r="DN163" s="34"/>
      <c r="DO163" s="34"/>
      <c r="DP163" s="34"/>
      <c r="DQ163" s="34"/>
      <c r="DR163" s="34"/>
      <c r="DS163" s="34"/>
      <c r="DT163" s="34"/>
      <c r="DU163" s="34"/>
      <c r="DV163" s="34"/>
      <c r="DW163" s="34"/>
      <c r="DX163" s="34"/>
      <c r="DY163" s="34"/>
      <c r="DZ163" s="34"/>
    </row>
    <row r="164" spans="1:130" x14ac:dyDescent="0.25">
      <c r="A164" s="34"/>
      <c r="B164" s="37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  <c r="CF164" s="34"/>
      <c r="CG164" s="34"/>
      <c r="CH164" s="34"/>
      <c r="CI164" s="34"/>
      <c r="CJ164" s="34"/>
      <c r="CK164" s="34"/>
      <c r="CL164" s="34"/>
      <c r="CM164" s="34"/>
      <c r="CN164" s="34"/>
      <c r="CO164" s="34"/>
      <c r="CP164" s="34"/>
      <c r="CQ164" s="34"/>
      <c r="CR164" s="34"/>
      <c r="CS164" s="34"/>
      <c r="CT164" s="34"/>
      <c r="CU164" s="34"/>
      <c r="CV164" s="34"/>
      <c r="CW164" s="34"/>
      <c r="CX164" s="34"/>
      <c r="CY164" s="34"/>
      <c r="CZ164" s="34"/>
      <c r="DA164" s="34"/>
      <c r="DB164" s="34"/>
      <c r="DC164" s="34"/>
      <c r="DD164" s="34"/>
      <c r="DE164" s="34"/>
      <c r="DF164" s="34"/>
      <c r="DG164" s="34"/>
      <c r="DH164" s="34"/>
      <c r="DI164" s="34"/>
      <c r="DJ164" s="34"/>
      <c r="DK164" s="34"/>
      <c r="DL164" s="34"/>
      <c r="DM164" s="34"/>
      <c r="DN164" s="34"/>
      <c r="DO164" s="34"/>
      <c r="DP164" s="34"/>
      <c r="DQ164" s="34"/>
      <c r="DR164" s="34"/>
      <c r="DS164" s="34"/>
      <c r="DT164" s="34"/>
      <c r="DU164" s="34"/>
      <c r="DV164" s="34"/>
      <c r="DW164" s="34"/>
      <c r="DX164" s="34"/>
      <c r="DY164" s="34"/>
      <c r="DZ164" s="34"/>
    </row>
    <row r="165" spans="1:130" x14ac:dyDescent="0.25">
      <c r="A165" s="34"/>
      <c r="B165" s="37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  <c r="CA165" s="34"/>
      <c r="CB165" s="34"/>
      <c r="CC165" s="34"/>
      <c r="CD165" s="34"/>
      <c r="CE165" s="34"/>
      <c r="CF165" s="34"/>
      <c r="CG165" s="34"/>
      <c r="CH165" s="34"/>
      <c r="CI165" s="34"/>
      <c r="CJ165" s="34"/>
      <c r="CK165" s="34"/>
      <c r="CL165" s="34"/>
      <c r="CM165" s="34"/>
      <c r="CN165" s="34"/>
      <c r="CO165" s="34"/>
      <c r="CP165" s="34"/>
      <c r="CQ165" s="34"/>
      <c r="CR165" s="34"/>
      <c r="CS165" s="34"/>
      <c r="CT165" s="34"/>
      <c r="CU165" s="34"/>
      <c r="CV165" s="34"/>
      <c r="CW165" s="34"/>
      <c r="CX165" s="34"/>
      <c r="CY165" s="34"/>
      <c r="CZ165" s="34"/>
      <c r="DA165" s="34"/>
      <c r="DB165" s="34"/>
      <c r="DC165" s="34"/>
      <c r="DD165" s="34"/>
      <c r="DE165" s="34"/>
      <c r="DF165" s="34"/>
      <c r="DG165" s="34"/>
      <c r="DH165" s="34"/>
      <c r="DI165" s="34"/>
      <c r="DJ165" s="34"/>
      <c r="DK165" s="34"/>
      <c r="DL165" s="34"/>
      <c r="DM165" s="34"/>
      <c r="DN165" s="34"/>
      <c r="DO165" s="34"/>
      <c r="DP165" s="34"/>
      <c r="DQ165" s="34"/>
      <c r="DR165" s="34"/>
      <c r="DS165" s="34"/>
      <c r="DT165" s="34"/>
      <c r="DU165" s="34"/>
      <c r="DV165" s="34"/>
      <c r="DW165" s="34"/>
      <c r="DX165" s="34"/>
      <c r="DY165" s="34"/>
      <c r="DZ165" s="34"/>
    </row>
    <row r="166" spans="1:130" x14ac:dyDescent="0.25">
      <c r="A166" s="34"/>
      <c r="B166" s="37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  <c r="CA166" s="34"/>
      <c r="CB166" s="34"/>
      <c r="CC166" s="34"/>
      <c r="CD166" s="34"/>
      <c r="CE166" s="34"/>
      <c r="CF166" s="34"/>
      <c r="CG166" s="34"/>
      <c r="CH166" s="34"/>
      <c r="CI166" s="34"/>
      <c r="CJ166" s="34"/>
      <c r="CK166" s="34"/>
      <c r="CL166" s="34"/>
      <c r="CM166" s="34"/>
      <c r="CN166" s="34"/>
      <c r="CO166" s="34"/>
      <c r="CP166" s="34"/>
      <c r="CQ166" s="34"/>
      <c r="CR166" s="34"/>
      <c r="CS166" s="34"/>
      <c r="CT166" s="34"/>
      <c r="CU166" s="34"/>
      <c r="CV166" s="34"/>
      <c r="CW166" s="34"/>
      <c r="CX166" s="34"/>
      <c r="CY166" s="34"/>
      <c r="CZ166" s="34"/>
      <c r="DA166" s="34"/>
      <c r="DB166" s="34"/>
      <c r="DC166" s="34"/>
      <c r="DD166" s="34"/>
      <c r="DE166" s="34"/>
      <c r="DF166" s="34"/>
      <c r="DG166" s="34"/>
      <c r="DH166" s="34"/>
      <c r="DI166" s="34"/>
      <c r="DJ166" s="34"/>
      <c r="DK166" s="34"/>
      <c r="DL166" s="34"/>
      <c r="DM166" s="34"/>
      <c r="DN166" s="34"/>
      <c r="DO166" s="34"/>
      <c r="DP166" s="34"/>
      <c r="DQ166" s="34"/>
      <c r="DR166" s="34"/>
      <c r="DS166" s="34"/>
      <c r="DT166" s="34"/>
      <c r="DU166" s="34"/>
      <c r="DV166" s="34"/>
      <c r="DW166" s="34"/>
      <c r="DX166" s="34"/>
      <c r="DY166" s="34"/>
      <c r="DZ166" s="34"/>
    </row>
    <row r="167" spans="1:130" x14ac:dyDescent="0.25">
      <c r="A167" s="34"/>
      <c r="B167" s="37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  <c r="CE167" s="34"/>
      <c r="CF167" s="34"/>
      <c r="CG167" s="34"/>
      <c r="CH167" s="34"/>
      <c r="CI167" s="34"/>
      <c r="CJ167" s="34"/>
      <c r="CK167" s="34"/>
      <c r="CL167" s="34"/>
      <c r="CM167" s="34"/>
      <c r="CN167" s="34"/>
      <c r="CO167" s="34"/>
      <c r="CP167" s="34"/>
      <c r="CQ167" s="34"/>
      <c r="CR167" s="34"/>
      <c r="CS167" s="34"/>
      <c r="CT167" s="34"/>
      <c r="CU167" s="34"/>
      <c r="CV167" s="34"/>
      <c r="CW167" s="34"/>
      <c r="CX167" s="34"/>
      <c r="CY167" s="34"/>
      <c r="CZ167" s="34"/>
      <c r="DA167" s="34"/>
      <c r="DB167" s="34"/>
      <c r="DC167" s="34"/>
      <c r="DD167" s="34"/>
      <c r="DE167" s="34"/>
      <c r="DF167" s="34"/>
      <c r="DG167" s="34"/>
      <c r="DH167" s="34"/>
      <c r="DI167" s="34"/>
      <c r="DJ167" s="34"/>
      <c r="DK167" s="34"/>
      <c r="DL167" s="34"/>
      <c r="DM167" s="34"/>
      <c r="DN167" s="34"/>
      <c r="DO167" s="34"/>
      <c r="DP167" s="34"/>
      <c r="DQ167" s="34"/>
      <c r="DR167" s="34"/>
      <c r="DS167" s="34"/>
      <c r="DT167" s="34"/>
      <c r="DU167" s="34"/>
      <c r="DV167" s="34"/>
      <c r="DW167" s="34"/>
      <c r="DX167" s="34"/>
      <c r="DY167" s="34"/>
      <c r="DZ167" s="34"/>
    </row>
    <row r="168" spans="1:130" x14ac:dyDescent="0.25">
      <c r="A168" s="34"/>
      <c r="B168" s="37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  <c r="CA168" s="34"/>
      <c r="CB168" s="34"/>
      <c r="CC168" s="34"/>
      <c r="CD168" s="34"/>
      <c r="CE168" s="34"/>
      <c r="CF168" s="34"/>
      <c r="CG168" s="34"/>
      <c r="CH168" s="34"/>
      <c r="CI168" s="34"/>
      <c r="CJ168" s="34"/>
      <c r="CK168" s="34"/>
      <c r="CL168" s="34"/>
      <c r="CM168" s="34"/>
      <c r="CN168" s="34"/>
      <c r="CO168" s="34"/>
      <c r="CP168" s="34"/>
      <c r="CQ168" s="34"/>
      <c r="CR168" s="34"/>
      <c r="CS168" s="34"/>
      <c r="CT168" s="34"/>
      <c r="CU168" s="34"/>
      <c r="CV168" s="34"/>
      <c r="CW168" s="34"/>
      <c r="CX168" s="34"/>
      <c r="CY168" s="34"/>
      <c r="CZ168" s="34"/>
      <c r="DA168" s="34"/>
      <c r="DB168" s="34"/>
      <c r="DC168" s="34"/>
      <c r="DD168" s="34"/>
      <c r="DE168" s="34"/>
      <c r="DF168" s="34"/>
      <c r="DG168" s="34"/>
      <c r="DH168" s="34"/>
      <c r="DI168" s="34"/>
      <c r="DJ168" s="34"/>
      <c r="DK168" s="34"/>
      <c r="DL168" s="34"/>
      <c r="DM168" s="34"/>
      <c r="DN168" s="34"/>
      <c r="DO168" s="34"/>
      <c r="DP168" s="34"/>
      <c r="DQ168" s="34"/>
      <c r="DR168" s="34"/>
      <c r="DS168" s="34"/>
      <c r="DT168" s="34"/>
      <c r="DU168" s="34"/>
      <c r="DV168" s="34"/>
      <c r="DW168" s="34"/>
      <c r="DX168" s="34"/>
      <c r="DY168" s="34"/>
      <c r="DZ168" s="34"/>
    </row>
    <row r="169" spans="1:130" x14ac:dyDescent="0.25">
      <c r="A169" s="34"/>
      <c r="B169" s="37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  <c r="CM169" s="34"/>
      <c r="CN169" s="34"/>
      <c r="CO169" s="34"/>
      <c r="CP169" s="34"/>
      <c r="CQ169" s="34"/>
      <c r="CR169" s="34"/>
      <c r="CS169" s="34"/>
      <c r="CT169" s="34"/>
      <c r="CU169" s="34"/>
      <c r="CV169" s="34"/>
      <c r="CW169" s="34"/>
      <c r="CX169" s="34"/>
      <c r="CY169" s="34"/>
      <c r="CZ169" s="34"/>
      <c r="DA169" s="34"/>
      <c r="DB169" s="34"/>
      <c r="DC169" s="34"/>
      <c r="DD169" s="34"/>
      <c r="DE169" s="34"/>
      <c r="DF169" s="34"/>
      <c r="DG169" s="34"/>
      <c r="DH169" s="34"/>
      <c r="DI169" s="34"/>
      <c r="DJ169" s="34"/>
      <c r="DK169" s="34"/>
      <c r="DL169" s="34"/>
      <c r="DM169" s="34"/>
      <c r="DN169" s="34"/>
      <c r="DO169" s="34"/>
      <c r="DP169" s="34"/>
      <c r="DQ169" s="34"/>
      <c r="DR169" s="34"/>
      <c r="DS169" s="34"/>
      <c r="DT169" s="34"/>
      <c r="DU169" s="34"/>
      <c r="DV169" s="34"/>
      <c r="DW169" s="34"/>
      <c r="DX169" s="34"/>
      <c r="DY169" s="34"/>
      <c r="DZ169" s="34"/>
    </row>
    <row r="170" spans="1:130" x14ac:dyDescent="0.25">
      <c r="A170" s="34"/>
      <c r="B170" s="37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  <c r="CF170" s="34"/>
      <c r="CG170" s="34"/>
      <c r="CH170" s="34"/>
      <c r="CI170" s="34"/>
      <c r="CJ170" s="34"/>
      <c r="CK170" s="34"/>
      <c r="CL170" s="34"/>
      <c r="CM170" s="34"/>
      <c r="CN170" s="34"/>
      <c r="CO170" s="34"/>
      <c r="CP170" s="34"/>
      <c r="CQ170" s="34"/>
      <c r="CR170" s="34"/>
      <c r="CS170" s="34"/>
      <c r="CT170" s="34"/>
      <c r="CU170" s="34"/>
      <c r="CV170" s="34"/>
      <c r="CW170" s="34"/>
      <c r="CX170" s="34"/>
      <c r="CY170" s="34"/>
      <c r="CZ170" s="34"/>
      <c r="DA170" s="34"/>
      <c r="DB170" s="34"/>
      <c r="DC170" s="34"/>
      <c r="DD170" s="34"/>
      <c r="DE170" s="34"/>
      <c r="DF170" s="34"/>
      <c r="DG170" s="34"/>
      <c r="DH170" s="34"/>
      <c r="DI170" s="34"/>
      <c r="DJ170" s="34"/>
      <c r="DK170" s="34"/>
      <c r="DL170" s="34"/>
      <c r="DM170" s="34"/>
      <c r="DN170" s="34"/>
      <c r="DO170" s="34"/>
      <c r="DP170" s="34"/>
      <c r="DQ170" s="34"/>
      <c r="DR170" s="34"/>
      <c r="DS170" s="34"/>
      <c r="DT170" s="34"/>
      <c r="DU170" s="34"/>
      <c r="DV170" s="34"/>
      <c r="DW170" s="34"/>
      <c r="DX170" s="34"/>
      <c r="DY170" s="34"/>
      <c r="DZ170" s="34"/>
    </row>
    <row r="171" spans="1:130" x14ac:dyDescent="0.25">
      <c r="A171" s="34"/>
      <c r="B171" s="37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  <c r="CM171" s="34"/>
      <c r="CN171" s="34"/>
      <c r="CO171" s="34"/>
      <c r="CP171" s="34"/>
      <c r="CQ171" s="34"/>
      <c r="CR171" s="34"/>
      <c r="CS171" s="34"/>
      <c r="CT171" s="34"/>
      <c r="CU171" s="34"/>
      <c r="CV171" s="34"/>
      <c r="CW171" s="34"/>
      <c r="CX171" s="34"/>
      <c r="CY171" s="34"/>
      <c r="CZ171" s="34"/>
      <c r="DA171" s="34"/>
      <c r="DB171" s="34"/>
      <c r="DC171" s="34"/>
      <c r="DD171" s="34"/>
      <c r="DE171" s="34"/>
      <c r="DF171" s="34"/>
      <c r="DG171" s="34"/>
      <c r="DH171" s="34"/>
      <c r="DI171" s="34"/>
      <c r="DJ171" s="34"/>
      <c r="DK171" s="34"/>
      <c r="DL171" s="34"/>
      <c r="DM171" s="34"/>
      <c r="DN171" s="34"/>
      <c r="DO171" s="34"/>
      <c r="DP171" s="34"/>
      <c r="DQ171" s="34"/>
      <c r="DR171" s="34"/>
      <c r="DS171" s="34"/>
      <c r="DT171" s="34"/>
      <c r="DU171" s="34"/>
      <c r="DV171" s="34"/>
      <c r="DW171" s="34"/>
      <c r="DX171" s="34"/>
      <c r="DY171" s="34"/>
      <c r="DZ171" s="34"/>
    </row>
    <row r="172" spans="1:130" x14ac:dyDescent="0.25">
      <c r="A172" s="34"/>
      <c r="B172" s="37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O172" s="34"/>
      <c r="CP172" s="34"/>
      <c r="CQ172" s="34"/>
      <c r="CR172" s="34"/>
      <c r="CS172" s="34"/>
      <c r="CT172" s="34"/>
      <c r="CU172" s="34"/>
      <c r="CV172" s="34"/>
      <c r="CW172" s="34"/>
      <c r="CX172" s="34"/>
      <c r="CY172" s="34"/>
      <c r="CZ172" s="34"/>
      <c r="DA172" s="34"/>
      <c r="DB172" s="34"/>
      <c r="DC172" s="34"/>
      <c r="DD172" s="34"/>
      <c r="DE172" s="34"/>
      <c r="DF172" s="34"/>
      <c r="DG172" s="34"/>
      <c r="DH172" s="34"/>
      <c r="DI172" s="34"/>
      <c r="DJ172" s="34"/>
      <c r="DK172" s="34"/>
      <c r="DL172" s="34"/>
      <c r="DM172" s="34"/>
      <c r="DN172" s="34"/>
      <c r="DO172" s="34"/>
      <c r="DP172" s="34"/>
      <c r="DQ172" s="34"/>
      <c r="DR172" s="34"/>
      <c r="DS172" s="34"/>
      <c r="DT172" s="34"/>
      <c r="DU172" s="34"/>
      <c r="DV172" s="34"/>
      <c r="DW172" s="34"/>
      <c r="DX172" s="34"/>
      <c r="DY172" s="34"/>
      <c r="DZ172" s="34"/>
    </row>
    <row r="173" spans="1:130" x14ac:dyDescent="0.25">
      <c r="A173" s="34"/>
      <c r="B173" s="37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  <c r="CE173" s="34"/>
      <c r="CF173" s="34"/>
      <c r="CG173" s="34"/>
      <c r="CH173" s="34"/>
      <c r="CI173" s="34"/>
      <c r="CJ173" s="34"/>
      <c r="CK173" s="34"/>
      <c r="CL173" s="34"/>
      <c r="CM173" s="34"/>
      <c r="CN173" s="34"/>
      <c r="CO173" s="34"/>
      <c r="CP173" s="34"/>
      <c r="CQ173" s="34"/>
      <c r="CR173" s="34"/>
      <c r="CS173" s="34"/>
      <c r="CT173" s="34"/>
      <c r="CU173" s="34"/>
      <c r="CV173" s="34"/>
      <c r="CW173" s="34"/>
      <c r="CX173" s="34"/>
      <c r="CY173" s="34"/>
      <c r="CZ173" s="34"/>
      <c r="DA173" s="34"/>
      <c r="DB173" s="34"/>
      <c r="DC173" s="34"/>
      <c r="DD173" s="34"/>
      <c r="DE173" s="34"/>
      <c r="DF173" s="34"/>
      <c r="DG173" s="34"/>
      <c r="DH173" s="34"/>
      <c r="DI173" s="34"/>
      <c r="DJ173" s="34"/>
      <c r="DK173" s="34"/>
      <c r="DL173" s="34"/>
      <c r="DM173" s="34"/>
      <c r="DN173" s="34"/>
      <c r="DO173" s="34"/>
      <c r="DP173" s="34"/>
      <c r="DQ173" s="34"/>
      <c r="DR173" s="34"/>
      <c r="DS173" s="34"/>
      <c r="DT173" s="34"/>
      <c r="DU173" s="34"/>
      <c r="DV173" s="34"/>
      <c r="DW173" s="34"/>
      <c r="DX173" s="34"/>
      <c r="DY173" s="34"/>
      <c r="DZ173" s="34"/>
    </row>
    <row r="174" spans="1:130" x14ac:dyDescent="0.25">
      <c r="A174" s="34"/>
      <c r="B174" s="37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  <c r="CF174" s="34"/>
      <c r="CG174" s="34"/>
      <c r="CH174" s="34"/>
      <c r="CI174" s="34"/>
      <c r="CJ174" s="34"/>
      <c r="CK174" s="34"/>
      <c r="CL174" s="34"/>
      <c r="CM174" s="34"/>
      <c r="CN174" s="34"/>
      <c r="CO174" s="34"/>
      <c r="CP174" s="34"/>
      <c r="CQ174" s="34"/>
      <c r="CR174" s="34"/>
      <c r="CS174" s="34"/>
      <c r="CT174" s="34"/>
      <c r="CU174" s="34"/>
      <c r="CV174" s="34"/>
      <c r="CW174" s="34"/>
      <c r="CX174" s="34"/>
      <c r="CY174" s="34"/>
      <c r="CZ174" s="34"/>
      <c r="DA174" s="34"/>
      <c r="DB174" s="34"/>
      <c r="DC174" s="34"/>
      <c r="DD174" s="34"/>
      <c r="DE174" s="34"/>
      <c r="DF174" s="34"/>
      <c r="DG174" s="34"/>
      <c r="DH174" s="34"/>
      <c r="DI174" s="34"/>
      <c r="DJ174" s="34"/>
      <c r="DK174" s="34"/>
      <c r="DL174" s="34"/>
      <c r="DM174" s="34"/>
      <c r="DN174" s="34"/>
      <c r="DO174" s="34"/>
      <c r="DP174" s="34"/>
      <c r="DQ174" s="34"/>
      <c r="DR174" s="34"/>
      <c r="DS174" s="34"/>
      <c r="DT174" s="34"/>
      <c r="DU174" s="34"/>
      <c r="DV174" s="34"/>
      <c r="DW174" s="34"/>
      <c r="DX174" s="34"/>
      <c r="DY174" s="34"/>
      <c r="DZ174" s="34"/>
    </row>
    <row r="175" spans="1:130" x14ac:dyDescent="0.25">
      <c r="A175" s="34"/>
      <c r="B175" s="37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  <c r="CF175" s="34"/>
      <c r="CG175" s="34"/>
      <c r="CH175" s="34"/>
      <c r="CI175" s="34"/>
      <c r="CJ175" s="34"/>
      <c r="CK175" s="34"/>
      <c r="CL175" s="34"/>
      <c r="CM175" s="34"/>
      <c r="CN175" s="34"/>
      <c r="CO175" s="34"/>
      <c r="CP175" s="34"/>
      <c r="CQ175" s="34"/>
      <c r="CR175" s="34"/>
      <c r="CS175" s="34"/>
      <c r="CT175" s="34"/>
      <c r="CU175" s="34"/>
      <c r="CV175" s="34"/>
      <c r="CW175" s="34"/>
      <c r="CX175" s="34"/>
      <c r="CY175" s="34"/>
      <c r="CZ175" s="34"/>
      <c r="DA175" s="34"/>
      <c r="DB175" s="34"/>
      <c r="DC175" s="34"/>
      <c r="DD175" s="34"/>
      <c r="DE175" s="34"/>
      <c r="DF175" s="34"/>
      <c r="DG175" s="34"/>
      <c r="DH175" s="34"/>
      <c r="DI175" s="34"/>
      <c r="DJ175" s="34"/>
      <c r="DK175" s="34"/>
      <c r="DL175" s="34"/>
      <c r="DM175" s="34"/>
      <c r="DN175" s="34"/>
      <c r="DO175" s="34"/>
      <c r="DP175" s="34"/>
      <c r="DQ175" s="34"/>
      <c r="DR175" s="34"/>
      <c r="DS175" s="34"/>
      <c r="DT175" s="34"/>
      <c r="DU175" s="34"/>
      <c r="DV175" s="34"/>
      <c r="DW175" s="34"/>
      <c r="DX175" s="34"/>
      <c r="DY175" s="34"/>
      <c r="DZ175" s="34"/>
    </row>
    <row r="176" spans="1:130" x14ac:dyDescent="0.25">
      <c r="A176" s="34"/>
      <c r="B176" s="37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  <c r="CM176" s="34"/>
      <c r="CN176" s="34"/>
      <c r="CO176" s="34"/>
      <c r="CP176" s="34"/>
      <c r="CQ176" s="34"/>
      <c r="CR176" s="34"/>
      <c r="CS176" s="34"/>
      <c r="CT176" s="34"/>
      <c r="CU176" s="34"/>
      <c r="CV176" s="34"/>
      <c r="CW176" s="34"/>
      <c r="CX176" s="34"/>
      <c r="CY176" s="34"/>
      <c r="CZ176" s="34"/>
      <c r="DA176" s="34"/>
      <c r="DB176" s="34"/>
      <c r="DC176" s="34"/>
      <c r="DD176" s="34"/>
      <c r="DE176" s="34"/>
      <c r="DF176" s="34"/>
      <c r="DG176" s="34"/>
      <c r="DH176" s="34"/>
      <c r="DI176" s="34"/>
      <c r="DJ176" s="34"/>
      <c r="DK176" s="34"/>
      <c r="DL176" s="34"/>
      <c r="DM176" s="34"/>
      <c r="DN176" s="34"/>
      <c r="DO176" s="34"/>
      <c r="DP176" s="34"/>
      <c r="DQ176" s="34"/>
      <c r="DR176" s="34"/>
      <c r="DS176" s="34"/>
      <c r="DT176" s="34"/>
      <c r="DU176" s="34"/>
      <c r="DV176" s="34"/>
      <c r="DW176" s="34"/>
      <c r="DX176" s="34"/>
      <c r="DY176" s="34"/>
      <c r="DZ176" s="34"/>
    </row>
    <row r="177" spans="1:130" x14ac:dyDescent="0.25">
      <c r="A177" s="34"/>
      <c r="B177" s="37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  <c r="CE177" s="34"/>
      <c r="CF177" s="34"/>
      <c r="CG177" s="34"/>
      <c r="CH177" s="34"/>
      <c r="CI177" s="34"/>
      <c r="CJ177" s="34"/>
      <c r="CK177" s="34"/>
      <c r="CL177" s="34"/>
      <c r="CM177" s="34"/>
      <c r="CN177" s="34"/>
      <c r="CO177" s="34"/>
      <c r="CP177" s="34"/>
      <c r="CQ177" s="34"/>
      <c r="CR177" s="34"/>
      <c r="CS177" s="34"/>
      <c r="CT177" s="34"/>
      <c r="CU177" s="34"/>
      <c r="CV177" s="34"/>
      <c r="CW177" s="34"/>
      <c r="CX177" s="34"/>
      <c r="CY177" s="34"/>
      <c r="CZ177" s="34"/>
      <c r="DA177" s="34"/>
      <c r="DB177" s="34"/>
      <c r="DC177" s="34"/>
      <c r="DD177" s="34"/>
      <c r="DE177" s="34"/>
      <c r="DF177" s="34"/>
      <c r="DG177" s="34"/>
      <c r="DH177" s="34"/>
      <c r="DI177" s="34"/>
      <c r="DJ177" s="34"/>
      <c r="DK177" s="34"/>
      <c r="DL177" s="34"/>
      <c r="DM177" s="34"/>
      <c r="DN177" s="34"/>
      <c r="DO177" s="34"/>
      <c r="DP177" s="34"/>
      <c r="DQ177" s="34"/>
      <c r="DR177" s="34"/>
      <c r="DS177" s="34"/>
      <c r="DT177" s="34"/>
      <c r="DU177" s="34"/>
      <c r="DV177" s="34"/>
      <c r="DW177" s="34"/>
      <c r="DX177" s="34"/>
      <c r="DY177" s="34"/>
      <c r="DZ177" s="34"/>
    </row>
    <row r="178" spans="1:130" x14ac:dyDescent="0.25">
      <c r="A178" s="34"/>
      <c r="B178" s="37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  <c r="CH178" s="34"/>
      <c r="CI178" s="34"/>
      <c r="CJ178" s="34"/>
      <c r="CK178" s="34"/>
      <c r="CL178" s="34"/>
      <c r="CM178" s="34"/>
      <c r="CN178" s="34"/>
      <c r="CO178" s="34"/>
      <c r="CP178" s="34"/>
      <c r="CQ178" s="34"/>
      <c r="CR178" s="34"/>
      <c r="CS178" s="34"/>
      <c r="CT178" s="34"/>
      <c r="CU178" s="34"/>
      <c r="CV178" s="34"/>
      <c r="CW178" s="34"/>
      <c r="CX178" s="34"/>
      <c r="CY178" s="34"/>
      <c r="CZ178" s="34"/>
      <c r="DA178" s="34"/>
      <c r="DB178" s="34"/>
      <c r="DC178" s="34"/>
      <c r="DD178" s="34"/>
      <c r="DE178" s="34"/>
      <c r="DF178" s="34"/>
      <c r="DG178" s="34"/>
      <c r="DH178" s="34"/>
      <c r="DI178" s="34"/>
      <c r="DJ178" s="34"/>
      <c r="DK178" s="34"/>
      <c r="DL178" s="34"/>
      <c r="DM178" s="34"/>
      <c r="DN178" s="34"/>
      <c r="DO178" s="34"/>
      <c r="DP178" s="34"/>
      <c r="DQ178" s="34"/>
      <c r="DR178" s="34"/>
      <c r="DS178" s="34"/>
      <c r="DT178" s="34"/>
      <c r="DU178" s="34"/>
      <c r="DV178" s="34"/>
      <c r="DW178" s="34"/>
      <c r="DX178" s="34"/>
      <c r="DY178" s="34"/>
      <c r="DZ178" s="34"/>
    </row>
    <row r="179" spans="1:130" x14ac:dyDescent="0.25">
      <c r="A179" s="34"/>
      <c r="B179" s="37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  <c r="CF179" s="34"/>
      <c r="CG179" s="34"/>
      <c r="CH179" s="34"/>
      <c r="CI179" s="34"/>
      <c r="CJ179" s="34"/>
      <c r="CK179" s="34"/>
      <c r="CL179" s="34"/>
      <c r="CM179" s="34"/>
      <c r="CN179" s="34"/>
      <c r="CO179" s="34"/>
      <c r="CP179" s="34"/>
      <c r="CQ179" s="34"/>
      <c r="CR179" s="34"/>
      <c r="CS179" s="34"/>
      <c r="CT179" s="34"/>
      <c r="CU179" s="34"/>
      <c r="CV179" s="34"/>
      <c r="CW179" s="34"/>
      <c r="CX179" s="34"/>
      <c r="CY179" s="34"/>
      <c r="CZ179" s="34"/>
      <c r="DA179" s="34"/>
      <c r="DB179" s="34"/>
      <c r="DC179" s="34"/>
      <c r="DD179" s="34"/>
      <c r="DE179" s="34"/>
      <c r="DF179" s="34"/>
      <c r="DG179" s="34"/>
      <c r="DH179" s="34"/>
      <c r="DI179" s="34"/>
      <c r="DJ179" s="34"/>
      <c r="DK179" s="34"/>
      <c r="DL179" s="34"/>
      <c r="DM179" s="34"/>
      <c r="DN179" s="34"/>
      <c r="DO179" s="34"/>
      <c r="DP179" s="34"/>
      <c r="DQ179" s="34"/>
      <c r="DR179" s="34"/>
      <c r="DS179" s="34"/>
      <c r="DT179" s="34"/>
      <c r="DU179" s="34"/>
      <c r="DV179" s="34"/>
      <c r="DW179" s="34"/>
      <c r="DX179" s="34"/>
      <c r="DY179" s="34"/>
      <c r="DZ179" s="34"/>
    </row>
    <row r="180" spans="1:130" x14ac:dyDescent="0.25">
      <c r="A180" s="34"/>
      <c r="B180" s="37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  <c r="CM180" s="34"/>
      <c r="CN180" s="34"/>
      <c r="CO180" s="34"/>
      <c r="CP180" s="34"/>
      <c r="CQ180" s="34"/>
      <c r="CR180" s="34"/>
      <c r="CS180" s="34"/>
      <c r="CT180" s="34"/>
      <c r="CU180" s="34"/>
      <c r="CV180" s="34"/>
      <c r="CW180" s="34"/>
      <c r="CX180" s="34"/>
      <c r="CY180" s="34"/>
      <c r="CZ180" s="34"/>
      <c r="DA180" s="34"/>
      <c r="DB180" s="34"/>
      <c r="DC180" s="34"/>
      <c r="DD180" s="34"/>
      <c r="DE180" s="34"/>
      <c r="DF180" s="34"/>
      <c r="DG180" s="34"/>
      <c r="DH180" s="34"/>
      <c r="DI180" s="34"/>
      <c r="DJ180" s="34"/>
      <c r="DK180" s="34"/>
      <c r="DL180" s="34"/>
      <c r="DM180" s="34"/>
      <c r="DN180" s="34"/>
      <c r="DO180" s="34"/>
      <c r="DP180" s="34"/>
      <c r="DQ180" s="34"/>
      <c r="DR180" s="34"/>
      <c r="DS180" s="34"/>
      <c r="DT180" s="34"/>
      <c r="DU180" s="34"/>
      <c r="DV180" s="34"/>
      <c r="DW180" s="34"/>
      <c r="DX180" s="34"/>
      <c r="DY180" s="34"/>
      <c r="DZ180" s="34"/>
    </row>
    <row r="181" spans="1:130" x14ac:dyDescent="0.25">
      <c r="A181" s="34"/>
      <c r="B181" s="37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  <c r="CE181" s="34"/>
      <c r="CF181" s="34"/>
      <c r="CG181" s="34"/>
      <c r="CH181" s="34"/>
      <c r="CI181" s="34"/>
      <c r="CJ181" s="34"/>
      <c r="CK181" s="34"/>
      <c r="CL181" s="34"/>
      <c r="CM181" s="34"/>
      <c r="CN181" s="34"/>
      <c r="CO181" s="34"/>
      <c r="CP181" s="34"/>
      <c r="CQ181" s="34"/>
      <c r="CR181" s="34"/>
      <c r="CS181" s="34"/>
      <c r="CT181" s="34"/>
      <c r="CU181" s="34"/>
      <c r="CV181" s="34"/>
      <c r="CW181" s="34"/>
      <c r="CX181" s="34"/>
      <c r="CY181" s="34"/>
      <c r="CZ181" s="34"/>
      <c r="DA181" s="34"/>
      <c r="DB181" s="34"/>
      <c r="DC181" s="34"/>
      <c r="DD181" s="34"/>
      <c r="DE181" s="34"/>
      <c r="DF181" s="34"/>
      <c r="DG181" s="34"/>
      <c r="DH181" s="34"/>
      <c r="DI181" s="34"/>
      <c r="DJ181" s="34"/>
      <c r="DK181" s="34"/>
      <c r="DL181" s="34"/>
      <c r="DM181" s="34"/>
      <c r="DN181" s="34"/>
      <c r="DO181" s="34"/>
      <c r="DP181" s="34"/>
      <c r="DQ181" s="34"/>
      <c r="DR181" s="34"/>
      <c r="DS181" s="34"/>
      <c r="DT181" s="34"/>
      <c r="DU181" s="34"/>
      <c r="DV181" s="34"/>
      <c r="DW181" s="34"/>
      <c r="DX181" s="34"/>
      <c r="DY181" s="34"/>
      <c r="DZ181" s="34"/>
    </row>
    <row r="182" spans="1:130" x14ac:dyDescent="0.25">
      <c r="A182" s="34"/>
      <c r="B182" s="37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  <c r="CH182" s="34"/>
      <c r="CI182" s="34"/>
      <c r="CJ182" s="34"/>
      <c r="CK182" s="34"/>
      <c r="CL182" s="34"/>
      <c r="CM182" s="34"/>
      <c r="CN182" s="34"/>
      <c r="CO182" s="34"/>
      <c r="CP182" s="34"/>
      <c r="CQ182" s="34"/>
      <c r="CR182" s="34"/>
      <c r="CS182" s="34"/>
      <c r="CT182" s="34"/>
      <c r="CU182" s="34"/>
      <c r="CV182" s="34"/>
      <c r="CW182" s="34"/>
      <c r="CX182" s="34"/>
      <c r="CY182" s="34"/>
      <c r="CZ182" s="34"/>
      <c r="DA182" s="34"/>
      <c r="DB182" s="34"/>
      <c r="DC182" s="34"/>
      <c r="DD182" s="34"/>
      <c r="DE182" s="34"/>
      <c r="DF182" s="34"/>
      <c r="DG182" s="34"/>
      <c r="DH182" s="34"/>
      <c r="DI182" s="34"/>
      <c r="DJ182" s="34"/>
      <c r="DK182" s="34"/>
      <c r="DL182" s="34"/>
      <c r="DM182" s="34"/>
      <c r="DN182" s="34"/>
      <c r="DO182" s="34"/>
      <c r="DP182" s="34"/>
      <c r="DQ182" s="34"/>
      <c r="DR182" s="34"/>
      <c r="DS182" s="34"/>
      <c r="DT182" s="34"/>
      <c r="DU182" s="34"/>
      <c r="DV182" s="34"/>
      <c r="DW182" s="34"/>
      <c r="DX182" s="34"/>
      <c r="DY182" s="34"/>
      <c r="DZ182" s="34"/>
    </row>
    <row r="183" spans="1:130" x14ac:dyDescent="0.25">
      <c r="A183" s="34"/>
      <c r="B183" s="37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  <c r="CE183" s="34"/>
      <c r="CF183" s="34"/>
      <c r="CG183" s="34"/>
      <c r="CH183" s="34"/>
      <c r="CI183" s="34"/>
      <c r="CJ183" s="34"/>
      <c r="CK183" s="34"/>
      <c r="CL183" s="34"/>
      <c r="CM183" s="34"/>
      <c r="CN183" s="34"/>
      <c r="CO183" s="34"/>
      <c r="CP183" s="34"/>
      <c r="CQ183" s="34"/>
      <c r="CR183" s="34"/>
      <c r="CS183" s="34"/>
      <c r="CT183" s="34"/>
      <c r="CU183" s="34"/>
      <c r="CV183" s="34"/>
      <c r="CW183" s="34"/>
      <c r="CX183" s="34"/>
      <c r="CY183" s="34"/>
      <c r="CZ183" s="34"/>
      <c r="DA183" s="34"/>
      <c r="DB183" s="34"/>
      <c r="DC183" s="34"/>
      <c r="DD183" s="34"/>
      <c r="DE183" s="34"/>
      <c r="DF183" s="34"/>
      <c r="DG183" s="34"/>
      <c r="DH183" s="34"/>
      <c r="DI183" s="34"/>
      <c r="DJ183" s="34"/>
      <c r="DK183" s="34"/>
      <c r="DL183" s="34"/>
      <c r="DM183" s="34"/>
      <c r="DN183" s="34"/>
      <c r="DO183" s="34"/>
      <c r="DP183" s="34"/>
      <c r="DQ183" s="34"/>
      <c r="DR183" s="34"/>
      <c r="DS183" s="34"/>
      <c r="DT183" s="34"/>
      <c r="DU183" s="34"/>
      <c r="DV183" s="34"/>
      <c r="DW183" s="34"/>
      <c r="DX183" s="34"/>
      <c r="DY183" s="34"/>
      <c r="DZ183" s="34"/>
    </row>
    <row r="184" spans="1:130" x14ac:dyDescent="0.25">
      <c r="A184" s="34"/>
      <c r="B184" s="37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  <c r="CF184" s="34"/>
      <c r="CG184" s="34"/>
      <c r="CH184" s="34"/>
      <c r="CI184" s="34"/>
      <c r="CJ184" s="34"/>
      <c r="CK184" s="34"/>
      <c r="CL184" s="34"/>
      <c r="CM184" s="34"/>
      <c r="CN184" s="34"/>
      <c r="CO184" s="34"/>
      <c r="CP184" s="34"/>
      <c r="CQ184" s="34"/>
      <c r="CR184" s="34"/>
      <c r="CS184" s="34"/>
      <c r="CT184" s="34"/>
      <c r="CU184" s="34"/>
      <c r="CV184" s="34"/>
      <c r="CW184" s="34"/>
      <c r="CX184" s="34"/>
      <c r="CY184" s="34"/>
      <c r="CZ184" s="34"/>
      <c r="DA184" s="34"/>
      <c r="DB184" s="34"/>
      <c r="DC184" s="34"/>
      <c r="DD184" s="34"/>
      <c r="DE184" s="34"/>
      <c r="DF184" s="34"/>
      <c r="DG184" s="34"/>
      <c r="DH184" s="34"/>
      <c r="DI184" s="34"/>
      <c r="DJ184" s="34"/>
      <c r="DK184" s="34"/>
      <c r="DL184" s="34"/>
      <c r="DM184" s="34"/>
      <c r="DN184" s="34"/>
      <c r="DO184" s="34"/>
      <c r="DP184" s="34"/>
      <c r="DQ184" s="34"/>
      <c r="DR184" s="34"/>
      <c r="DS184" s="34"/>
      <c r="DT184" s="34"/>
      <c r="DU184" s="34"/>
      <c r="DV184" s="34"/>
      <c r="DW184" s="34"/>
      <c r="DX184" s="34"/>
      <c r="DY184" s="34"/>
      <c r="DZ184" s="34"/>
    </row>
    <row r="185" spans="1:130" x14ac:dyDescent="0.25">
      <c r="A185" s="34"/>
      <c r="B185" s="37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  <c r="CH185" s="34"/>
      <c r="CI185" s="34"/>
      <c r="CJ185" s="34"/>
      <c r="CK185" s="34"/>
      <c r="CL185" s="34"/>
      <c r="CM185" s="34"/>
      <c r="CN185" s="34"/>
      <c r="CO185" s="34"/>
      <c r="CP185" s="34"/>
      <c r="CQ185" s="34"/>
      <c r="CR185" s="34"/>
      <c r="CS185" s="34"/>
      <c r="CT185" s="34"/>
      <c r="CU185" s="34"/>
      <c r="CV185" s="34"/>
      <c r="CW185" s="34"/>
      <c r="CX185" s="34"/>
      <c r="CY185" s="34"/>
      <c r="CZ185" s="34"/>
      <c r="DA185" s="34"/>
      <c r="DB185" s="34"/>
      <c r="DC185" s="34"/>
      <c r="DD185" s="34"/>
      <c r="DE185" s="34"/>
      <c r="DF185" s="34"/>
      <c r="DG185" s="34"/>
      <c r="DH185" s="34"/>
      <c r="DI185" s="34"/>
      <c r="DJ185" s="34"/>
      <c r="DK185" s="34"/>
      <c r="DL185" s="34"/>
      <c r="DM185" s="34"/>
      <c r="DN185" s="34"/>
      <c r="DO185" s="34"/>
      <c r="DP185" s="34"/>
      <c r="DQ185" s="34"/>
      <c r="DR185" s="34"/>
      <c r="DS185" s="34"/>
      <c r="DT185" s="34"/>
      <c r="DU185" s="34"/>
      <c r="DV185" s="34"/>
      <c r="DW185" s="34"/>
      <c r="DX185" s="34"/>
      <c r="DY185" s="34"/>
      <c r="DZ185" s="34"/>
    </row>
    <row r="186" spans="1:130" x14ac:dyDescent="0.25">
      <c r="A186" s="34"/>
      <c r="B186" s="37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  <c r="CM186" s="34"/>
      <c r="CN186" s="34"/>
      <c r="CO186" s="34"/>
      <c r="CP186" s="34"/>
      <c r="CQ186" s="34"/>
      <c r="CR186" s="34"/>
      <c r="CS186" s="34"/>
      <c r="CT186" s="34"/>
      <c r="CU186" s="34"/>
      <c r="CV186" s="34"/>
      <c r="CW186" s="34"/>
      <c r="CX186" s="34"/>
      <c r="CY186" s="34"/>
      <c r="CZ186" s="34"/>
      <c r="DA186" s="34"/>
      <c r="DB186" s="34"/>
      <c r="DC186" s="34"/>
      <c r="DD186" s="34"/>
      <c r="DE186" s="34"/>
      <c r="DF186" s="34"/>
      <c r="DG186" s="34"/>
      <c r="DH186" s="34"/>
      <c r="DI186" s="34"/>
      <c r="DJ186" s="34"/>
      <c r="DK186" s="34"/>
      <c r="DL186" s="34"/>
      <c r="DM186" s="34"/>
      <c r="DN186" s="34"/>
      <c r="DO186" s="34"/>
      <c r="DP186" s="34"/>
      <c r="DQ186" s="34"/>
      <c r="DR186" s="34"/>
      <c r="DS186" s="34"/>
      <c r="DT186" s="34"/>
      <c r="DU186" s="34"/>
      <c r="DV186" s="34"/>
      <c r="DW186" s="34"/>
      <c r="DX186" s="34"/>
      <c r="DY186" s="34"/>
      <c r="DZ186" s="34"/>
    </row>
    <row r="187" spans="1:130" x14ac:dyDescent="0.25">
      <c r="A187" s="34"/>
      <c r="B187" s="37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  <c r="CM187" s="34"/>
      <c r="CN187" s="34"/>
      <c r="CO187" s="34"/>
      <c r="CP187" s="34"/>
      <c r="CQ187" s="34"/>
      <c r="CR187" s="34"/>
      <c r="CS187" s="34"/>
      <c r="CT187" s="34"/>
      <c r="CU187" s="34"/>
      <c r="CV187" s="34"/>
      <c r="CW187" s="34"/>
      <c r="CX187" s="34"/>
      <c r="CY187" s="34"/>
      <c r="CZ187" s="34"/>
      <c r="DA187" s="34"/>
      <c r="DB187" s="34"/>
      <c r="DC187" s="34"/>
      <c r="DD187" s="34"/>
      <c r="DE187" s="34"/>
      <c r="DF187" s="34"/>
      <c r="DG187" s="34"/>
      <c r="DH187" s="34"/>
      <c r="DI187" s="34"/>
      <c r="DJ187" s="34"/>
      <c r="DK187" s="34"/>
      <c r="DL187" s="34"/>
      <c r="DM187" s="34"/>
      <c r="DN187" s="34"/>
      <c r="DO187" s="34"/>
      <c r="DP187" s="34"/>
      <c r="DQ187" s="34"/>
      <c r="DR187" s="34"/>
      <c r="DS187" s="34"/>
      <c r="DT187" s="34"/>
      <c r="DU187" s="34"/>
      <c r="DV187" s="34"/>
      <c r="DW187" s="34"/>
      <c r="DX187" s="34"/>
      <c r="DY187" s="34"/>
      <c r="DZ187" s="34"/>
    </row>
    <row r="188" spans="1:130" x14ac:dyDescent="0.25">
      <c r="A188" s="34"/>
      <c r="B188" s="37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  <c r="CM188" s="34"/>
      <c r="CN188" s="34"/>
      <c r="CO188" s="34"/>
      <c r="CP188" s="34"/>
      <c r="CQ188" s="34"/>
      <c r="CR188" s="34"/>
      <c r="CS188" s="34"/>
      <c r="CT188" s="34"/>
      <c r="CU188" s="34"/>
      <c r="CV188" s="34"/>
      <c r="CW188" s="34"/>
      <c r="CX188" s="34"/>
      <c r="CY188" s="34"/>
      <c r="CZ188" s="34"/>
      <c r="DA188" s="34"/>
      <c r="DB188" s="34"/>
      <c r="DC188" s="34"/>
      <c r="DD188" s="34"/>
      <c r="DE188" s="34"/>
      <c r="DF188" s="34"/>
      <c r="DG188" s="34"/>
      <c r="DH188" s="34"/>
      <c r="DI188" s="34"/>
      <c r="DJ188" s="34"/>
      <c r="DK188" s="34"/>
      <c r="DL188" s="34"/>
      <c r="DM188" s="34"/>
      <c r="DN188" s="34"/>
      <c r="DO188" s="34"/>
      <c r="DP188" s="34"/>
      <c r="DQ188" s="34"/>
      <c r="DR188" s="34"/>
      <c r="DS188" s="34"/>
      <c r="DT188" s="34"/>
      <c r="DU188" s="34"/>
      <c r="DV188" s="34"/>
      <c r="DW188" s="34"/>
      <c r="DX188" s="34"/>
      <c r="DY188" s="34"/>
      <c r="DZ188" s="34"/>
    </row>
    <row r="189" spans="1:130" x14ac:dyDescent="0.25">
      <c r="A189" s="34"/>
      <c r="B189" s="37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  <c r="CF189" s="34"/>
      <c r="CG189" s="34"/>
      <c r="CH189" s="34"/>
      <c r="CI189" s="34"/>
      <c r="CJ189" s="34"/>
      <c r="CK189" s="34"/>
      <c r="CL189" s="34"/>
      <c r="CM189" s="34"/>
      <c r="CN189" s="34"/>
      <c r="CO189" s="34"/>
      <c r="CP189" s="34"/>
      <c r="CQ189" s="34"/>
      <c r="CR189" s="34"/>
      <c r="CS189" s="34"/>
      <c r="CT189" s="34"/>
      <c r="CU189" s="34"/>
      <c r="CV189" s="34"/>
      <c r="CW189" s="34"/>
      <c r="CX189" s="34"/>
      <c r="CY189" s="34"/>
      <c r="CZ189" s="34"/>
      <c r="DA189" s="34"/>
      <c r="DB189" s="34"/>
      <c r="DC189" s="34"/>
      <c r="DD189" s="34"/>
      <c r="DE189" s="34"/>
      <c r="DF189" s="34"/>
      <c r="DG189" s="34"/>
      <c r="DH189" s="34"/>
      <c r="DI189" s="34"/>
      <c r="DJ189" s="34"/>
      <c r="DK189" s="34"/>
      <c r="DL189" s="34"/>
      <c r="DM189" s="34"/>
      <c r="DN189" s="34"/>
      <c r="DO189" s="34"/>
      <c r="DP189" s="34"/>
      <c r="DQ189" s="34"/>
      <c r="DR189" s="34"/>
      <c r="DS189" s="34"/>
      <c r="DT189" s="34"/>
      <c r="DU189" s="34"/>
      <c r="DV189" s="34"/>
      <c r="DW189" s="34"/>
      <c r="DX189" s="34"/>
      <c r="DY189" s="34"/>
      <c r="DZ189" s="34"/>
    </row>
    <row r="190" spans="1:130" x14ac:dyDescent="0.25">
      <c r="A190" s="34"/>
      <c r="B190" s="37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  <c r="CM190" s="34"/>
      <c r="CN190" s="34"/>
      <c r="CO190" s="34"/>
      <c r="CP190" s="34"/>
      <c r="CQ190" s="34"/>
      <c r="CR190" s="34"/>
      <c r="CS190" s="34"/>
      <c r="CT190" s="34"/>
      <c r="CU190" s="34"/>
      <c r="CV190" s="34"/>
      <c r="CW190" s="34"/>
      <c r="CX190" s="34"/>
      <c r="CY190" s="34"/>
      <c r="CZ190" s="34"/>
      <c r="DA190" s="34"/>
      <c r="DB190" s="34"/>
      <c r="DC190" s="34"/>
      <c r="DD190" s="34"/>
      <c r="DE190" s="34"/>
      <c r="DF190" s="34"/>
      <c r="DG190" s="34"/>
      <c r="DH190" s="34"/>
      <c r="DI190" s="34"/>
      <c r="DJ190" s="34"/>
      <c r="DK190" s="34"/>
      <c r="DL190" s="34"/>
      <c r="DM190" s="34"/>
      <c r="DN190" s="34"/>
      <c r="DO190" s="34"/>
      <c r="DP190" s="34"/>
      <c r="DQ190" s="34"/>
      <c r="DR190" s="34"/>
      <c r="DS190" s="34"/>
      <c r="DT190" s="34"/>
      <c r="DU190" s="34"/>
      <c r="DV190" s="34"/>
      <c r="DW190" s="34"/>
      <c r="DX190" s="34"/>
      <c r="DY190" s="34"/>
      <c r="DZ190" s="34"/>
    </row>
    <row r="191" spans="1:130" x14ac:dyDescent="0.25">
      <c r="A191" s="34"/>
      <c r="B191" s="37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  <c r="CH191" s="34"/>
      <c r="CI191" s="34"/>
      <c r="CJ191" s="34"/>
      <c r="CK191" s="34"/>
      <c r="CL191" s="34"/>
      <c r="CM191" s="34"/>
      <c r="CN191" s="34"/>
      <c r="CO191" s="34"/>
      <c r="CP191" s="34"/>
      <c r="CQ191" s="34"/>
      <c r="CR191" s="34"/>
      <c r="CS191" s="34"/>
      <c r="CT191" s="34"/>
      <c r="CU191" s="34"/>
      <c r="CV191" s="34"/>
      <c r="CW191" s="34"/>
      <c r="CX191" s="34"/>
      <c r="CY191" s="34"/>
      <c r="CZ191" s="34"/>
      <c r="DA191" s="34"/>
      <c r="DB191" s="34"/>
      <c r="DC191" s="34"/>
      <c r="DD191" s="34"/>
      <c r="DE191" s="34"/>
      <c r="DF191" s="34"/>
      <c r="DG191" s="34"/>
      <c r="DH191" s="34"/>
      <c r="DI191" s="34"/>
      <c r="DJ191" s="34"/>
      <c r="DK191" s="34"/>
      <c r="DL191" s="34"/>
      <c r="DM191" s="34"/>
      <c r="DN191" s="34"/>
      <c r="DO191" s="34"/>
      <c r="DP191" s="34"/>
      <c r="DQ191" s="34"/>
      <c r="DR191" s="34"/>
      <c r="DS191" s="34"/>
      <c r="DT191" s="34"/>
      <c r="DU191" s="34"/>
      <c r="DV191" s="34"/>
      <c r="DW191" s="34"/>
      <c r="DX191" s="34"/>
      <c r="DY191" s="34"/>
      <c r="DZ191" s="34"/>
    </row>
    <row r="192" spans="1:130" x14ac:dyDescent="0.25">
      <c r="A192" s="34"/>
      <c r="B192" s="37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  <c r="CM192" s="34"/>
      <c r="CN192" s="34"/>
      <c r="CO192" s="34"/>
      <c r="CP192" s="34"/>
      <c r="CQ192" s="34"/>
      <c r="CR192" s="34"/>
      <c r="CS192" s="34"/>
      <c r="CT192" s="34"/>
      <c r="CU192" s="34"/>
      <c r="CV192" s="34"/>
      <c r="CW192" s="34"/>
      <c r="CX192" s="34"/>
      <c r="CY192" s="34"/>
      <c r="CZ192" s="34"/>
      <c r="DA192" s="34"/>
      <c r="DB192" s="34"/>
      <c r="DC192" s="34"/>
      <c r="DD192" s="34"/>
      <c r="DE192" s="34"/>
      <c r="DF192" s="34"/>
      <c r="DG192" s="34"/>
      <c r="DH192" s="34"/>
      <c r="DI192" s="34"/>
      <c r="DJ192" s="34"/>
      <c r="DK192" s="34"/>
      <c r="DL192" s="34"/>
      <c r="DM192" s="34"/>
      <c r="DN192" s="34"/>
      <c r="DO192" s="34"/>
      <c r="DP192" s="34"/>
      <c r="DQ192" s="34"/>
      <c r="DR192" s="34"/>
      <c r="DS192" s="34"/>
      <c r="DT192" s="34"/>
      <c r="DU192" s="34"/>
      <c r="DV192" s="34"/>
      <c r="DW192" s="34"/>
      <c r="DX192" s="34"/>
      <c r="DY192" s="34"/>
      <c r="DZ192" s="34"/>
    </row>
    <row r="193" spans="1:130" x14ac:dyDescent="0.25">
      <c r="A193" s="34"/>
      <c r="B193" s="37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  <c r="CM193" s="34"/>
      <c r="CN193" s="34"/>
      <c r="CO193" s="34"/>
      <c r="CP193" s="34"/>
      <c r="CQ193" s="34"/>
      <c r="CR193" s="34"/>
      <c r="CS193" s="34"/>
      <c r="CT193" s="34"/>
      <c r="CU193" s="34"/>
      <c r="CV193" s="34"/>
      <c r="CW193" s="34"/>
      <c r="CX193" s="34"/>
      <c r="CY193" s="34"/>
      <c r="CZ193" s="34"/>
      <c r="DA193" s="34"/>
      <c r="DB193" s="34"/>
      <c r="DC193" s="34"/>
      <c r="DD193" s="34"/>
      <c r="DE193" s="34"/>
      <c r="DF193" s="34"/>
      <c r="DG193" s="34"/>
      <c r="DH193" s="34"/>
      <c r="DI193" s="34"/>
      <c r="DJ193" s="34"/>
      <c r="DK193" s="34"/>
      <c r="DL193" s="34"/>
      <c r="DM193" s="34"/>
      <c r="DN193" s="34"/>
      <c r="DO193" s="34"/>
      <c r="DP193" s="34"/>
      <c r="DQ193" s="34"/>
      <c r="DR193" s="34"/>
      <c r="DS193" s="34"/>
      <c r="DT193" s="34"/>
      <c r="DU193" s="34"/>
      <c r="DV193" s="34"/>
      <c r="DW193" s="34"/>
      <c r="DX193" s="34"/>
      <c r="DY193" s="34"/>
      <c r="DZ193" s="34"/>
    </row>
    <row r="194" spans="1:130" x14ac:dyDescent="0.25">
      <c r="A194" s="34"/>
      <c r="B194" s="37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  <c r="CM194" s="34"/>
      <c r="CN194" s="34"/>
      <c r="CO194" s="34"/>
      <c r="CP194" s="34"/>
      <c r="CQ194" s="34"/>
      <c r="CR194" s="34"/>
      <c r="CS194" s="34"/>
      <c r="CT194" s="34"/>
      <c r="CU194" s="34"/>
      <c r="CV194" s="34"/>
      <c r="CW194" s="34"/>
      <c r="CX194" s="34"/>
      <c r="CY194" s="34"/>
      <c r="CZ194" s="34"/>
      <c r="DA194" s="34"/>
      <c r="DB194" s="34"/>
      <c r="DC194" s="34"/>
      <c r="DD194" s="34"/>
      <c r="DE194" s="34"/>
      <c r="DF194" s="34"/>
      <c r="DG194" s="34"/>
      <c r="DH194" s="34"/>
      <c r="DI194" s="34"/>
      <c r="DJ194" s="34"/>
      <c r="DK194" s="34"/>
      <c r="DL194" s="34"/>
      <c r="DM194" s="34"/>
      <c r="DN194" s="34"/>
      <c r="DO194" s="34"/>
      <c r="DP194" s="34"/>
      <c r="DQ194" s="34"/>
      <c r="DR194" s="34"/>
      <c r="DS194" s="34"/>
      <c r="DT194" s="34"/>
      <c r="DU194" s="34"/>
      <c r="DV194" s="34"/>
      <c r="DW194" s="34"/>
      <c r="DX194" s="34"/>
      <c r="DY194" s="34"/>
      <c r="DZ194" s="34"/>
    </row>
    <row r="195" spans="1:130" x14ac:dyDescent="0.25">
      <c r="A195" s="34"/>
      <c r="B195" s="37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  <c r="CE195" s="34"/>
      <c r="CF195" s="34"/>
      <c r="CG195" s="34"/>
      <c r="CH195" s="34"/>
      <c r="CI195" s="34"/>
      <c r="CJ195" s="34"/>
      <c r="CK195" s="34"/>
      <c r="CL195" s="34"/>
      <c r="CM195" s="34"/>
      <c r="CN195" s="34"/>
      <c r="CO195" s="34"/>
      <c r="CP195" s="34"/>
      <c r="CQ195" s="34"/>
      <c r="CR195" s="34"/>
      <c r="CS195" s="34"/>
      <c r="CT195" s="34"/>
      <c r="CU195" s="34"/>
      <c r="CV195" s="34"/>
      <c r="CW195" s="34"/>
      <c r="CX195" s="34"/>
      <c r="CY195" s="34"/>
      <c r="CZ195" s="34"/>
      <c r="DA195" s="34"/>
      <c r="DB195" s="34"/>
      <c r="DC195" s="34"/>
      <c r="DD195" s="34"/>
      <c r="DE195" s="34"/>
      <c r="DF195" s="34"/>
      <c r="DG195" s="34"/>
      <c r="DH195" s="34"/>
      <c r="DI195" s="34"/>
      <c r="DJ195" s="34"/>
      <c r="DK195" s="34"/>
      <c r="DL195" s="34"/>
      <c r="DM195" s="34"/>
      <c r="DN195" s="34"/>
      <c r="DO195" s="34"/>
      <c r="DP195" s="34"/>
      <c r="DQ195" s="34"/>
      <c r="DR195" s="34"/>
      <c r="DS195" s="34"/>
      <c r="DT195" s="34"/>
      <c r="DU195" s="34"/>
      <c r="DV195" s="34"/>
      <c r="DW195" s="34"/>
      <c r="DX195" s="34"/>
      <c r="DY195" s="34"/>
      <c r="DZ195" s="34"/>
    </row>
    <row r="196" spans="1:130" x14ac:dyDescent="0.25">
      <c r="A196" s="34"/>
      <c r="B196" s="37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  <c r="CH196" s="34"/>
      <c r="CI196" s="34"/>
      <c r="CJ196" s="34"/>
      <c r="CK196" s="34"/>
      <c r="CL196" s="34"/>
      <c r="CM196" s="34"/>
      <c r="CN196" s="34"/>
      <c r="CO196" s="34"/>
      <c r="CP196" s="34"/>
      <c r="CQ196" s="34"/>
      <c r="CR196" s="34"/>
      <c r="CS196" s="34"/>
      <c r="CT196" s="34"/>
      <c r="CU196" s="34"/>
      <c r="CV196" s="34"/>
      <c r="CW196" s="34"/>
      <c r="CX196" s="34"/>
      <c r="CY196" s="34"/>
      <c r="CZ196" s="34"/>
      <c r="DA196" s="34"/>
      <c r="DB196" s="34"/>
      <c r="DC196" s="34"/>
      <c r="DD196" s="34"/>
      <c r="DE196" s="34"/>
      <c r="DF196" s="34"/>
      <c r="DG196" s="34"/>
      <c r="DH196" s="34"/>
      <c r="DI196" s="34"/>
      <c r="DJ196" s="34"/>
      <c r="DK196" s="34"/>
      <c r="DL196" s="34"/>
      <c r="DM196" s="34"/>
      <c r="DN196" s="34"/>
      <c r="DO196" s="34"/>
      <c r="DP196" s="34"/>
      <c r="DQ196" s="34"/>
      <c r="DR196" s="34"/>
      <c r="DS196" s="34"/>
      <c r="DT196" s="34"/>
      <c r="DU196" s="34"/>
      <c r="DV196" s="34"/>
      <c r="DW196" s="34"/>
      <c r="DX196" s="34"/>
      <c r="DY196" s="34"/>
      <c r="DZ196" s="34"/>
    </row>
    <row r="197" spans="1:130" x14ac:dyDescent="0.25">
      <c r="A197" s="34"/>
      <c r="B197" s="37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  <c r="CA197" s="34"/>
      <c r="CB197" s="34"/>
      <c r="CC197" s="34"/>
      <c r="CD197" s="34"/>
      <c r="CE197" s="34"/>
      <c r="CF197" s="34"/>
      <c r="CG197" s="34"/>
      <c r="CH197" s="34"/>
      <c r="CI197" s="34"/>
      <c r="CJ197" s="34"/>
      <c r="CK197" s="34"/>
      <c r="CL197" s="34"/>
      <c r="CM197" s="34"/>
      <c r="CN197" s="34"/>
      <c r="CO197" s="34"/>
      <c r="CP197" s="34"/>
      <c r="CQ197" s="34"/>
      <c r="CR197" s="34"/>
      <c r="CS197" s="34"/>
      <c r="CT197" s="34"/>
      <c r="CU197" s="34"/>
      <c r="CV197" s="34"/>
      <c r="CW197" s="34"/>
      <c r="CX197" s="34"/>
      <c r="CY197" s="34"/>
      <c r="CZ197" s="34"/>
      <c r="DA197" s="34"/>
      <c r="DB197" s="34"/>
      <c r="DC197" s="34"/>
      <c r="DD197" s="34"/>
      <c r="DE197" s="34"/>
      <c r="DF197" s="34"/>
      <c r="DG197" s="34"/>
      <c r="DH197" s="34"/>
      <c r="DI197" s="34"/>
      <c r="DJ197" s="34"/>
      <c r="DK197" s="34"/>
      <c r="DL197" s="34"/>
      <c r="DM197" s="34"/>
      <c r="DN197" s="34"/>
      <c r="DO197" s="34"/>
      <c r="DP197" s="34"/>
      <c r="DQ197" s="34"/>
      <c r="DR197" s="34"/>
      <c r="DS197" s="34"/>
      <c r="DT197" s="34"/>
      <c r="DU197" s="34"/>
      <c r="DV197" s="34"/>
      <c r="DW197" s="34"/>
      <c r="DX197" s="34"/>
      <c r="DY197" s="34"/>
      <c r="DZ197" s="34"/>
    </row>
    <row r="198" spans="1:130" x14ac:dyDescent="0.25">
      <c r="A198" s="34"/>
      <c r="B198" s="37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  <c r="CM198" s="34"/>
      <c r="CN198" s="34"/>
      <c r="CO198" s="34"/>
      <c r="CP198" s="34"/>
      <c r="CQ198" s="34"/>
      <c r="CR198" s="34"/>
      <c r="CS198" s="34"/>
      <c r="CT198" s="34"/>
      <c r="CU198" s="34"/>
      <c r="CV198" s="34"/>
      <c r="CW198" s="34"/>
      <c r="CX198" s="34"/>
      <c r="CY198" s="34"/>
      <c r="CZ198" s="34"/>
      <c r="DA198" s="34"/>
      <c r="DB198" s="34"/>
      <c r="DC198" s="34"/>
      <c r="DD198" s="34"/>
      <c r="DE198" s="34"/>
      <c r="DF198" s="34"/>
      <c r="DG198" s="34"/>
      <c r="DH198" s="34"/>
      <c r="DI198" s="34"/>
      <c r="DJ198" s="34"/>
      <c r="DK198" s="34"/>
      <c r="DL198" s="34"/>
      <c r="DM198" s="34"/>
      <c r="DN198" s="34"/>
      <c r="DO198" s="34"/>
      <c r="DP198" s="34"/>
      <c r="DQ198" s="34"/>
      <c r="DR198" s="34"/>
      <c r="DS198" s="34"/>
      <c r="DT198" s="34"/>
      <c r="DU198" s="34"/>
      <c r="DV198" s="34"/>
      <c r="DW198" s="34"/>
      <c r="DX198" s="34"/>
      <c r="DY198" s="34"/>
      <c r="DZ198" s="34"/>
    </row>
    <row r="199" spans="1:130" x14ac:dyDescent="0.25">
      <c r="A199" s="34"/>
      <c r="B199" s="37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  <c r="CE199" s="34"/>
      <c r="CF199" s="34"/>
      <c r="CG199" s="34"/>
      <c r="CH199" s="34"/>
      <c r="CI199" s="34"/>
      <c r="CJ199" s="34"/>
      <c r="CK199" s="34"/>
      <c r="CL199" s="34"/>
      <c r="CM199" s="34"/>
      <c r="CN199" s="34"/>
      <c r="CO199" s="34"/>
      <c r="CP199" s="34"/>
      <c r="CQ199" s="34"/>
      <c r="CR199" s="34"/>
      <c r="CS199" s="34"/>
      <c r="CT199" s="34"/>
      <c r="CU199" s="34"/>
      <c r="CV199" s="34"/>
      <c r="CW199" s="34"/>
      <c r="CX199" s="34"/>
      <c r="CY199" s="34"/>
      <c r="CZ199" s="34"/>
      <c r="DA199" s="34"/>
      <c r="DB199" s="34"/>
      <c r="DC199" s="34"/>
      <c r="DD199" s="34"/>
      <c r="DE199" s="34"/>
      <c r="DF199" s="34"/>
      <c r="DG199" s="34"/>
      <c r="DH199" s="34"/>
      <c r="DI199" s="34"/>
      <c r="DJ199" s="34"/>
      <c r="DK199" s="34"/>
      <c r="DL199" s="34"/>
      <c r="DM199" s="34"/>
      <c r="DN199" s="34"/>
      <c r="DO199" s="34"/>
      <c r="DP199" s="34"/>
      <c r="DQ199" s="34"/>
      <c r="DR199" s="34"/>
      <c r="DS199" s="34"/>
      <c r="DT199" s="34"/>
      <c r="DU199" s="34"/>
      <c r="DV199" s="34"/>
      <c r="DW199" s="34"/>
      <c r="DX199" s="34"/>
      <c r="DY199" s="34"/>
      <c r="DZ199" s="34"/>
    </row>
    <row r="200" spans="1:130" x14ac:dyDescent="0.25">
      <c r="A200" s="34"/>
      <c r="B200" s="37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  <c r="CF200" s="34"/>
      <c r="CG200" s="34"/>
      <c r="CH200" s="34"/>
      <c r="CI200" s="34"/>
      <c r="CJ200" s="34"/>
      <c r="CK200" s="34"/>
      <c r="CL200" s="34"/>
      <c r="CM200" s="34"/>
      <c r="CN200" s="34"/>
      <c r="CO200" s="34"/>
      <c r="CP200" s="34"/>
      <c r="CQ200" s="34"/>
      <c r="CR200" s="34"/>
      <c r="CS200" s="34"/>
      <c r="CT200" s="34"/>
      <c r="CU200" s="34"/>
      <c r="CV200" s="34"/>
      <c r="CW200" s="34"/>
      <c r="CX200" s="34"/>
      <c r="CY200" s="34"/>
      <c r="CZ200" s="34"/>
      <c r="DA200" s="34"/>
      <c r="DB200" s="34"/>
      <c r="DC200" s="34"/>
      <c r="DD200" s="34"/>
      <c r="DE200" s="34"/>
      <c r="DF200" s="34"/>
      <c r="DG200" s="34"/>
      <c r="DH200" s="34"/>
      <c r="DI200" s="34"/>
      <c r="DJ200" s="34"/>
      <c r="DK200" s="34"/>
      <c r="DL200" s="34"/>
      <c r="DM200" s="34"/>
      <c r="DN200" s="34"/>
      <c r="DO200" s="34"/>
      <c r="DP200" s="34"/>
      <c r="DQ200" s="34"/>
      <c r="DR200" s="34"/>
      <c r="DS200" s="34"/>
      <c r="DT200" s="34"/>
      <c r="DU200" s="34"/>
      <c r="DV200" s="34"/>
      <c r="DW200" s="34"/>
      <c r="DX200" s="34"/>
      <c r="DY200" s="34"/>
      <c r="DZ200" s="34"/>
    </row>
    <row r="201" spans="1:130" x14ac:dyDescent="0.25">
      <c r="A201" s="34"/>
      <c r="B201" s="37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  <c r="BZ201" s="34"/>
      <c r="CA201" s="34"/>
      <c r="CB201" s="34"/>
      <c r="CC201" s="34"/>
      <c r="CD201" s="34"/>
      <c r="CE201" s="34"/>
      <c r="CF201" s="34"/>
      <c r="CG201" s="34"/>
      <c r="CH201" s="34"/>
      <c r="CI201" s="34"/>
      <c r="CJ201" s="34"/>
      <c r="CK201" s="34"/>
      <c r="CL201" s="34"/>
      <c r="CM201" s="34"/>
      <c r="CN201" s="34"/>
      <c r="CO201" s="34"/>
      <c r="CP201" s="34"/>
      <c r="CQ201" s="34"/>
      <c r="CR201" s="34"/>
      <c r="CS201" s="34"/>
      <c r="CT201" s="34"/>
      <c r="CU201" s="34"/>
      <c r="CV201" s="34"/>
      <c r="CW201" s="34"/>
      <c r="CX201" s="34"/>
      <c r="CY201" s="34"/>
      <c r="CZ201" s="34"/>
      <c r="DA201" s="34"/>
      <c r="DB201" s="34"/>
      <c r="DC201" s="34"/>
      <c r="DD201" s="34"/>
      <c r="DE201" s="34"/>
      <c r="DF201" s="34"/>
      <c r="DG201" s="34"/>
      <c r="DH201" s="34"/>
      <c r="DI201" s="34"/>
      <c r="DJ201" s="34"/>
      <c r="DK201" s="34"/>
      <c r="DL201" s="34"/>
      <c r="DM201" s="34"/>
      <c r="DN201" s="34"/>
      <c r="DO201" s="34"/>
      <c r="DP201" s="34"/>
      <c r="DQ201" s="34"/>
      <c r="DR201" s="34"/>
      <c r="DS201" s="34"/>
      <c r="DT201" s="34"/>
      <c r="DU201" s="34"/>
      <c r="DV201" s="34"/>
      <c r="DW201" s="34"/>
      <c r="DX201" s="34"/>
      <c r="DY201" s="34"/>
      <c r="DZ201" s="34"/>
    </row>
    <row r="202" spans="1:130" x14ac:dyDescent="0.25">
      <c r="A202" s="34"/>
      <c r="B202" s="37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  <c r="CA202" s="34"/>
      <c r="CB202" s="34"/>
      <c r="CC202" s="34"/>
      <c r="CD202" s="34"/>
      <c r="CE202" s="34"/>
      <c r="CF202" s="34"/>
      <c r="CG202" s="34"/>
      <c r="CH202" s="34"/>
      <c r="CI202" s="34"/>
      <c r="CJ202" s="34"/>
      <c r="CK202" s="34"/>
      <c r="CL202" s="34"/>
      <c r="CM202" s="34"/>
      <c r="CN202" s="34"/>
      <c r="CO202" s="34"/>
      <c r="CP202" s="34"/>
      <c r="CQ202" s="34"/>
      <c r="CR202" s="34"/>
      <c r="CS202" s="34"/>
      <c r="CT202" s="34"/>
      <c r="CU202" s="34"/>
      <c r="CV202" s="34"/>
      <c r="CW202" s="34"/>
      <c r="CX202" s="34"/>
      <c r="CY202" s="34"/>
      <c r="CZ202" s="34"/>
      <c r="DA202" s="34"/>
      <c r="DB202" s="34"/>
      <c r="DC202" s="34"/>
      <c r="DD202" s="34"/>
      <c r="DE202" s="34"/>
      <c r="DF202" s="34"/>
      <c r="DG202" s="34"/>
      <c r="DH202" s="34"/>
      <c r="DI202" s="34"/>
      <c r="DJ202" s="34"/>
      <c r="DK202" s="34"/>
      <c r="DL202" s="34"/>
      <c r="DM202" s="34"/>
      <c r="DN202" s="34"/>
      <c r="DO202" s="34"/>
      <c r="DP202" s="34"/>
      <c r="DQ202" s="34"/>
      <c r="DR202" s="34"/>
      <c r="DS202" s="34"/>
      <c r="DT202" s="34"/>
      <c r="DU202" s="34"/>
      <c r="DV202" s="34"/>
      <c r="DW202" s="34"/>
      <c r="DX202" s="34"/>
      <c r="DY202" s="34"/>
      <c r="DZ202" s="34"/>
    </row>
    <row r="203" spans="1:130" x14ac:dyDescent="0.25">
      <c r="A203" s="34"/>
      <c r="B203" s="37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  <c r="CA203" s="34"/>
      <c r="CB203" s="34"/>
      <c r="CC203" s="34"/>
      <c r="CD203" s="34"/>
      <c r="CE203" s="34"/>
      <c r="CF203" s="34"/>
      <c r="CG203" s="34"/>
      <c r="CH203" s="34"/>
      <c r="CI203" s="34"/>
      <c r="CJ203" s="34"/>
      <c r="CK203" s="34"/>
      <c r="CL203" s="34"/>
      <c r="CM203" s="34"/>
      <c r="CN203" s="34"/>
      <c r="CO203" s="34"/>
      <c r="CP203" s="34"/>
      <c r="CQ203" s="34"/>
      <c r="CR203" s="34"/>
      <c r="CS203" s="34"/>
      <c r="CT203" s="34"/>
      <c r="CU203" s="34"/>
      <c r="CV203" s="34"/>
      <c r="CW203" s="34"/>
      <c r="CX203" s="34"/>
      <c r="CY203" s="34"/>
      <c r="CZ203" s="34"/>
      <c r="DA203" s="34"/>
      <c r="DB203" s="34"/>
      <c r="DC203" s="34"/>
      <c r="DD203" s="34"/>
      <c r="DE203" s="34"/>
      <c r="DF203" s="34"/>
      <c r="DG203" s="34"/>
      <c r="DH203" s="34"/>
      <c r="DI203" s="34"/>
      <c r="DJ203" s="34"/>
      <c r="DK203" s="34"/>
      <c r="DL203" s="34"/>
      <c r="DM203" s="34"/>
      <c r="DN203" s="34"/>
      <c r="DO203" s="34"/>
      <c r="DP203" s="34"/>
      <c r="DQ203" s="34"/>
      <c r="DR203" s="34"/>
      <c r="DS203" s="34"/>
      <c r="DT203" s="34"/>
      <c r="DU203" s="34"/>
      <c r="DV203" s="34"/>
      <c r="DW203" s="34"/>
      <c r="DX203" s="34"/>
      <c r="DY203" s="34"/>
      <c r="DZ203" s="34"/>
    </row>
    <row r="204" spans="1:130" x14ac:dyDescent="0.25">
      <c r="A204" s="34"/>
      <c r="B204" s="37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  <c r="CA204" s="34"/>
      <c r="CB204" s="34"/>
      <c r="CC204" s="34"/>
      <c r="CD204" s="34"/>
      <c r="CE204" s="34"/>
      <c r="CF204" s="34"/>
      <c r="CG204" s="34"/>
      <c r="CH204" s="34"/>
      <c r="CI204" s="34"/>
      <c r="CJ204" s="34"/>
      <c r="CK204" s="34"/>
      <c r="CL204" s="34"/>
      <c r="CM204" s="34"/>
      <c r="CN204" s="34"/>
      <c r="CO204" s="34"/>
      <c r="CP204" s="34"/>
      <c r="CQ204" s="34"/>
      <c r="CR204" s="34"/>
      <c r="CS204" s="34"/>
      <c r="CT204" s="34"/>
      <c r="CU204" s="34"/>
      <c r="CV204" s="34"/>
      <c r="CW204" s="34"/>
      <c r="CX204" s="34"/>
      <c r="CY204" s="34"/>
      <c r="CZ204" s="34"/>
      <c r="DA204" s="34"/>
      <c r="DB204" s="34"/>
      <c r="DC204" s="34"/>
      <c r="DD204" s="34"/>
      <c r="DE204" s="34"/>
      <c r="DF204" s="34"/>
      <c r="DG204" s="34"/>
      <c r="DH204" s="34"/>
      <c r="DI204" s="34"/>
      <c r="DJ204" s="34"/>
      <c r="DK204" s="34"/>
      <c r="DL204" s="34"/>
      <c r="DM204" s="34"/>
      <c r="DN204" s="34"/>
      <c r="DO204" s="34"/>
      <c r="DP204" s="34"/>
      <c r="DQ204" s="34"/>
      <c r="DR204" s="34"/>
      <c r="DS204" s="34"/>
      <c r="DT204" s="34"/>
      <c r="DU204" s="34"/>
      <c r="DV204" s="34"/>
      <c r="DW204" s="34"/>
      <c r="DX204" s="34"/>
      <c r="DY204" s="34"/>
      <c r="DZ204" s="34"/>
    </row>
    <row r="205" spans="1:130" x14ac:dyDescent="0.25">
      <c r="A205" s="34"/>
      <c r="B205" s="37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  <c r="CA205" s="34"/>
      <c r="CB205" s="34"/>
      <c r="CC205" s="34"/>
      <c r="CD205" s="34"/>
      <c r="CE205" s="34"/>
      <c r="CF205" s="34"/>
      <c r="CG205" s="34"/>
      <c r="CH205" s="34"/>
      <c r="CI205" s="34"/>
      <c r="CJ205" s="34"/>
      <c r="CK205" s="34"/>
      <c r="CL205" s="34"/>
      <c r="CM205" s="34"/>
      <c r="CN205" s="34"/>
      <c r="CO205" s="34"/>
      <c r="CP205" s="34"/>
      <c r="CQ205" s="34"/>
      <c r="CR205" s="34"/>
      <c r="CS205" s="34"/>
      <c r="CT205" s="34"/>
      <c r="CU205" s="34"/>
      <c r="CV205" s="34"/>
      <c r="CW205" s="34"/>
      <c r="CX205" s="34"/>
      <c r="CY205" s="34"/>
      <c r="CZ205" s="34"/>
      <c r="DA205" s="34"/>
      <c r="DB205" s="34"/>
      <c r="DC205" s="34"/>
      <c r="DD205" s="34"/>
      <c r="DE205" s="34"/>
      <c r="DF205" s="34"/>
      <c r="DG205" s="34"/>
      <c r="DH205" s="34"/>
      <c r="DI205" s="34"/>
      <c r="DJ205" s="34"/>
      <c r="DK205" s="34"/>
      <c r="DL205" s="34"/>
      <c r="DM205" s="34"/>
      <c r="DN205" s="34"/>
      <c r="DO205" s="34"/>
      <c r="DP205" s="34"/>
      <c r="DQ205" s="34"/>
      <c r="DR205" s="34"/>
      <c r="DS205" s="34"/>
      <c r="DT205" s="34"/>
      <c r="DU205" s="34"/>
      <c r="DV205" s="34"/>
      <c r="DW205" s="34"/>
      <c r="DX205" s="34"/>
      <c r="DY205" s="34"/>
      <c r="DZ205" s="34"/>
    </row>
    <row r="206" spans="1:130" x14ac:dyDescent="0.25">
      <c r="A206" s="34"/>
      <c r="B206" s="37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  <c r="CF206" s="34"/>
      <c r="CG206" s="34"/>
      <c r="CH206" s="34"/>
      <c r="CI206" s="34"/>
      <c r="CJ206" s="34"/>
      <c r="CK206" s="34"/>
      <c r="CL206" s="34"/>
      <c r="CM206" s="34"/>
      <c r="CN206" s="34"/>
      <c r="CO206" s="34"/>
      <c r="CP206" s="34"/>
      <c r="CQ206" s="34"/>
      <c r="CR206" s="34"/>
      <c r="CS206" s="34"/>
      <c r="CT206" s="34"/>
      <c r="CU206" s="34"/>
      <c r="CV206" s="34"/>
      <c r="CW206" s="34"/>
      <c r="CX206" s="34"/>
      <c r="CY206" s="34"/>
      <c r="CZ206" s="34"/>
      <c r="DA206" s="34"/>
      <c r="DB206" s="34"/>
      <c r="DC206" s="34"/>
      <c r="DD206" s="34"/>
      <c r="DE206" s="34"/>
      <c r="DF206" s="34"/>
      <c r="DG206" s="34"/>
      <c r="DH206" s="34"/>
      <c r="DI206" s="34"/>
      <c r="DJ206" s="34"/>
      <c r="DK206" s="34"/>
      <c r="DL206" s="34"/>
      <c r="DM206" s="34"/>
      <c r="DN206" s="34"/>
      <c r="DO206" s="34"/>
      <c r="DP206" s="34"/>
      <c r="DQ206" s="34"/>
      <c r="DR206" s="34"/>
      <c r="DS206" s="34"/>
      <c r="DT206" s="34"/>
      <c r="DU206" s="34"/>
      <c r="DV206" s="34"/>
      <c r="DW206" s="34"/>
      <c r="DX206" s="34"/>
      <c r="DY206" s="34"/>
      <c r="DZ206" s="34"/>
    </row>
    <row r="207" spans="1:130" x14ac:dyDescent="0.25">
      <c r="A207" s="34"/>
      <c r="B207" s="37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  <c r="CA207" s="34"/>
      <c r="CB207" s="34"/>
      <c r="CC207" s="34"/>
      <c r="CD207" s="34"/>
      <c r="CE207" s="34"/>
      <c r="CF207" s="34"/>
      <c r="CG207" s="34"/>
      <c r="CH207" s="34"/>
      <c r="CI207" s="34"/>
      <c r="CJ207" s="34"/>
      <c r="CK207" s="34"/>
      <c r="CL207" s="34"/>
      <c r="CM207" s="34"/>
      <c r="CN207" s="34"/>
      <c r="CO207" s="34"/>
      <c r="CP207" s="34"/>
      <c r="CQ207" s="34"/>
      <c r="CR207" s="34"/>
      <c r="CS207" s="34"/>
      <c r="CT207" s="34"/>
      <c r="CU207" s="34"/>
      <c r="CV207" s="34"/>
      <c r="CW207" s="34"/>
      <c r="CX207" s="34"/>
      <c r="CY207" s="34"/>
      <c r="CZ207" s="34"/>
      <c r="DA207" s="34"/>
      <c r="DB207" s="34"/>
      <c r="DC207" s="34"/>
      <c r="DD207" s="34"/>
      <c r="DE207" s="34"/>
      <c r="DF207" s="34"/>
      <c r="DG207" s="34"/>
      <c r="DH207" s="34"/>
      <c r="DI207" s="34"/>
      <c r="DJ207" s="34"/>
      <c r="DK207" s="34"/>
      <c r="DL207" s="34"/>
      <c r="DM207" s="34"/>
      <c r="DN207" s="34"/>
      <c r="DO207" s="34"/>
      <c r="DP207" s="34"/>
      <c r="DQ207" s="34"/>
      <c r="DR207" s="34"/>
      <c r="DS207" s="34"/>
      <c r="DT207" s="34"/>
      <c r="DU207" s="34"/>
      <c r="DV207" s="34"/>
      <c r="DW207" s="34"/>
      <c r="DX207" s="34"/>
      <c r="DY207" s="34"/>
      <c r="DZ207" s="34"/>
    </row>
    <row r="208" spans="1:130" x14ac:dyDescent="0.25">
      <c r="A208" s="34"/>
      <c r="B208" s="37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  <c r="CM208" s="34"/>
      <c r="CN208" s="34"/>
      <c r="CO208" s="34"/>
      <c r="CP208" s="34"/>
      <c r="CQ208" s="34"/>
      <c r="CR208" s="34"/>
      <c r="CS208" s="34"/>
      <c r="CT208" s="34"/>
      <c r="CU208" s="34"/>
      <c r="CV208" s="34"/>
      <c r="CW208" s="34"/>
      <c r="CX208" s="34"/>
      <c r="CY208" s="34"/>
      <c r="CZ208" s="34"/>
      <c r="DA208" s="34"/>
      <c r="DB208" s="34"/>
      <c r="DC208" s="34"/>
      <c r="DD208" s="34"/>
      <c r="DE208" s="34"/>
      <c r="DF208" s="34"/>
      <c r="DG208" s="34"/>
      <c r="DH208" s="34"/>
      <c r="DI208" s="34"/>
      <c r="DJ208" s="34"/>
      <c r="DK208" s="34"/>
      <c r="DL208" s="34"/>
      <c r="DM208" s="34"/>
      <c r="DN208" s="34"/>
      <c r="DO208" s="34"/>
      <c r="DP208" s="34"/>
      <c r="DQ208" s="34"/>
      <c r="DR208" s="34"/>
      <c r="DS208" s="34"/>
      <c r="DT208" s="34"/>
      <c r="DU208" s="34"/>
      <c r="DV208" s="34"/>
      <c r="DW208" s="34"/>
      <c r="DX208" s="34"/>
      <c r="DY208" s="34"/>
      <c r="DZ208" s="34"/>
    </row>
    <row r="209" spans="1:130" x14ac:dyDescent="0.25">
      <c r="A209" s="34"/>
      <c r="B209" s="37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  <c r="CF209" s="34"/>
      <c r="CG209" s="34"/>
      <c r="CH209" s="34"/>
      <c r="CI209" s="34"/>
      <c r="CJ209" s="34"/>
      <c r="CK209" s="34"/>
      <c r="CL209" s="34"/>
      <c r="CM209" s="34"/>
      <c r="CN209" s="34"/>
      <c r="CO209" s="34"/>
      <c r="CP209" s="34"/>
      <c r="CQ209" s="34"/>
      <c r="CR209" s="34"/>
      <c r="CS209" s="34"/>
      <c r="CT209" s="34"/>
      <c r="CU209" s="34"/>
      <c r="CV209" s="34"/>
      <c r="CW209" s="34"/>
      <c r="CX209" s="34"/>
      <c r="CY209" s="34"/>
      <c r="CZ209" s="34"/>
      <c r="DA209" s="34"/>
      <c r="DB209" s="34"/>
      <c r="DC209" s="34"/>
      <c r="DD209" s="34"/>
      <c r="DE209" s="34"/>
      <c r="DF209" s="34"/>
      <c r="DG209" s="34"/>
      <c r="DH209" s="34"/>
      <c r="DI209" s="34"/>
      <c r="DJ209" s="34"/>
      <c r="DK209" s="34"/>
      <c r="DL209" s="34"/>
      <c r="DM209" s="34"/>
      <c r="DN209" s="34"/>
      <c r="DO209" s="34"/>
      <c r="DP209" s="34"/>
      <c r="DQ209" s="34"/>
      <c r="DR209" s="34"/>
      <c r="DS209" s="34"/>
      <c r="DT209" s="34"/>
      <c r="DU209" s="34"/>
      <c r="DV209" s="34"/>
      <c r="DW209" s="34"/>
      <c r="DX209" s="34"/>
      <c r="DY209" s="34"/>
      <c r="DZ209" s="34"/>
    </row>
    <row r="210" spans="1:130" x14ac:dyDescent="0.25">
      <c r="A210" s="34"/>
      <c r="B210" s="37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  <c r="CM210" s="34"/>
      <c r="CN210" s="34"/>
      <c r="CO210" s="34"/>
      <c r="CP210" s="34"/>
      <c r="CQ210" s="34"/>
      <c r="CR210" s="34"/>
      <c r="CS210" s="34"/>
      <c r="CT210" s="34"/>
      <c r="CU210" s="34"/>
      <c r="CV210" s="34"/>
      <c r="CW210" s="34"/>
      <c r="CX210" s="34"/>
      <c r="CY210" s="34"/>
      <c r="CZ210" s="34"/>
      <c r="DA210" s="34"/>
      <c r="DB210" s="34"/>
      <c r="DC210" s="34"/>
      <c r="DD210" s="34"/>
      <c r="DE210" s="34"/>
      <c r="DF210" s="34"/>
      <c r="DG210" s="34"/>
      <c r="DH210" s="34"/>
      <c r="DI210" s="34"/>
      <c r="DJ210" s="34"/>
      <c r="DK210" s="34"/>
      <c r="DL210" s="34"/>
      <c r="DM210" s="34"/>
      <c r="DN210" s="34"/>
      <c r="DO210" s="34"/>
      <c r="DP210" s="34"/>
      <c r="DQ210" s="34"/>
      <c r="DR210" s="34"/>
      <c r="DS210" s="34"/>
      <c r="DT210" s="34"/>
      <c r="DU210" s="34"/>
      <c r="DV210" s="34"/>
      <c r="DW210" s="34"/>
      <c r="DX210" s="34"/>
      <c r="DY210" s="34"/>
      <c r="DZ210" s="34"/>
    </row>
    <row r="211" spans="1:130" x14ac:dyDescent="0.25">
      <c r="A211" s="34"/>
      <c r="B211" s="37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4"/>
      <c r="CF211" s="34"/>
      <c r="CG211" s="34"/>
      <c r="CH211" s="34"/>
      <c r="CI211" s="34"/>
      <c r="CJ211" s="34"/>
      <c r="CK211" s="34"/>
      <c r="CL211" s="34"/>
      <c r="CM211" s="34"/>
      <c r="CN211" s="34"/>
      <c r="CO211" s="34"/>
      <c r="CP211" s="34"/>
      <c r="CQ211" s="34"/>
      <c r="CR211" s="34"/>
      <c r="CS211" s="34"/>
      <c r="CT211" s="34"/>
      <c r="CU211" s="34"/>
      <c r="CV211" s="34"/>
      <c r="CW211" s="34"/>
      <c r="CX211" s="34"/>
      <c r="CY211" s="34"/>
      <c r="CZ211" s="34"/>
      <c r="DA211" s="34"/>
      <c r="DB211" s="34"/>
      <c r="DC211" s="34"/>
      <c r="DD211" s="34"/>
      <c r="DE211" s="34"/>
      <c r="DF211" s="34"/>
      <c r="DG211" s="34"/>
      <c r="DH211" s="34"/>
      <c r="DI211" s="34"/>
      <c r="DJ211" s="34"/>
      <c r="DK211" s="34"/>
      <c r="DL211" s="34"/>
      <c r="DM211" s="34"/>
      <c r="DN211" s="34"/>
      <c r="DO211" s="34"/>
      <c r="DP211" s="34"/>
      <c r="DQ211" s="34"/>
      <c r="DR211" s="34"/>
      <c r="DS211" s="34"/>
      <c r="DT211" s="34"/>
      <c r="DU211" s="34"/>
      <c r="DV211" s="34"/>
      <c r="DW211" s="34"/>
      <c r="DX211" s="34"/>
      <c r="DY211" s="34"/>
      <c r="DZ211" s="34"/>
    </row>
    <row r="212" spans="1:130" x14ac:dyDescent="0.25">
      <c r="A212" s="34"/>
      <c r="B212" s="37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  <c r="CM212" s="34"/>
      <c r="CN212" s="34"/>
      <c r="CO212" s="34"/>
      <c r="CP212" s="34"/>
      <c r="CQ212" s="34"/>
      <c r="CR212" s="34"/>
      <c r="CS212" s="34"/>
      <c r="CT212" s="34"/>
      <c r="CU212" s="34"/>
      <c r="CV212" s="34"/>
      <c r="CW212" s="34"/>
      <c r="CX212" s="34"/>
      <c r="CY212" s="34"/>
      <c r="CZ212" s="34"/>
      <c r="DA212" s="34"/>
      <c r="DB212" s="34"/>
      <c r="DC212" s="34"/>
      <c r="DD212" s="34"/>
      <c r="DE212" s="34"/>
      <c r="DF212" s="34"/>
      <c r="DG212" s="34"/>
      <c r="DH212" s="34"/>
      <c r="DI212" s="34"/>
      <c r="DJ212" s="34"/>
      <c r="DK212" s="34"/>
      <c r="DL212" s="34"/>
      <c r="DM212" s="34"/>
      <c r="DN212" s="34"/>
      <c r="DO212" s="34"/>
      <c r="DP212" s="34"/>
      <c r="DQ212" s="34"/>
      <c r="DR212" s="34"/>
      <c r="DS212" s="34"/>
      <c r="DT212" s="34"/>
      <c r="DU212" s="34"/>
      <c r="DV212" s="34"/>
      <c r="DW212" s="34"/>
      <c r="DX212" s="34"/>
      <c r="DY212" s="34"/>
      <c r="DZ212" s="34"/>
    </row>
    <row r="213" spans="1:130" x14ac:dyDescent="0.25">
      <c r="A213" s="34"/>
      <c r="B213" s="37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  <c r="CA213" s="34"/>
      <c r="CB213" s="34"/>
      <c r="CC213" s="34"/>
      <c r="CD213" s="34"/>
      <c r="CE213" s="34"/>
      <c r="CF213" s="34"/>
      <c r="CG213" s="34"/>
      <c r="CH213" s="34"/>
      <c r="CI213" s="34"/>
      <c r="CJ213" s="34"/>
      <c r="CK213" s="34"/>
      <c r="CL213" s="34"/>
      <c r="CM213" s="34"/>
      <c r="CN213" s="34"/>
      <c r="CO213" s="34"/>
      <c r="CP213" s="34"/>
      <c r="CQ213" s="34"/>
      <c r="CR213" s="34"/>
      <c r="CS213" s="34"/>
      <c r="CT213" s="34"/>
      <c r="CU213" s="34"/>
      <c r="CV213" s="34"/>
      <c r="CW213" s="34"/>
      <c r="CX213" s="34"/>
      <c r="CY213" s="34"/>
      <c r="CZ213" s="34"/>
      <c r="DA213" s="34"/>
      <c r="DB213" s="34"/>
      <c r="DC213" s="34"/>
      <c r="DD213" s="34"/>
      <c r="DE213" s="34"/>
      <c r="DF213" s="34"/>
      <c r="DG213" s="34"/>
      <c r="DH213" s="34"/>
      <c r="DI213" s="34"/>
      <c r="DJ213" s="34"/>
      <c r="DK213" s="34"/>
      <c r="DL213" s="34"/>
      <c r="DM213" s="34"/>
      <c r="DN213" s="34"/>
      <c r="DO213" s="34"/>
      <c r="DP213" s="34"/>
      <c r="DQ213" s="34"/>
      <c r="DR213" s="34"/>
      <c r="DS213" s="34"/>
      <c r="DT213" s="34"/>
      <c r="DU213" s="34"/>
      <c r="DV213" s="34"/>
      <c r="DW213" s="34"/>
      <c r="DX213" s="34"/>
      <c r="DY213" s="34"/>
      <c r="DZ213" s="34"/>
    </row>
    <row r="214" spans="1:130" x14ac:dyDescent="0.25">
      <c r="A214" s="34"/>
      <c r="B214" s="37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  <c r="CE214" s="34"/>
      <c r="CF214" s="34"/>
      <c r="CG214" s="34"/>
      <c r="CH214" s="34"/>
      <c r="CI214" s="34"/>
      <c r="CJ214" s="34"/>
      <c r="CK214" s="34"/>
      <c r="CL214" s="34"/>
      <c r="CM214" s="34"/>
      <c r="CN214" s="34"/>
      <c r="CO214" s="34"/>
      <c r="CP214" s="34"/>
      <c r="CQ214" s="34"/>
      <c r="CR214" s="34"/>
      <c r="CS214" s="34"/>
      <c r="CT214" s="34"/>
      <c r="CU214" s="34"/>
      <c r="CV214" s="34"/>
      <c r="CW214" s="34"/>
      <c r="CX214" s="34"/>
      <c r="CY214" s="34"/>
      <c r="CZ214" s="34"/>
      <c r="DA214" s="34"/>
      <c r="DB214" s="34"/>
      <c r="DC214" s="34"/>
      <c r="DD214" s="34"/>
      <c r="DE214" s="34"/>
      <c r="DF214" s="34"/>
      <c r="DG214" s="34"/>
      <c r="DH214" s="34"/>
      <c r="DI214" s="34"/>
      <c r="DJ214" s="34"/>
      <c r="DK214" s="34"/>
      <c r="DL214" s="34"/>
      <c r="DM214" s="34"/>
      <c r="DN214" s="34"/>
      <c r="DO214" s="34"/>
      <c r="DP214" s="34"/>
      <c r="DQ214" s="34"/>
      <c r="DR214" s="34"/>
      <c r="DS214" s="34"/>
      <c r="DT214" s="34"/>
      <c r="DU214" s="34"/>
      <c r="DV214" s="34"/>
      <c r="DW214" s="34"/>
      <c r="DX214" s="34"/>
      <c r="DY214" s="34"/>
      <c r="DZ214" s="34"/>
    </row>
    <row r="215" spans="1:130" x14ac:dyDescent="0.25">
      <c r="A215" s="34"/>
      <c r="B215" s="37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  <c r="CE215" s="34"/>
      <c r="CF215" s="34"/>
      <c r="CG215" s="34"/>
      <c r="CH215" s="34"/>
      <c r="CI215" s="34"/>
      <c r="CJ215" s="34"/>
      <c r="CK215" s="34"/>
      <c r="CL215" s="34"/>
      <c r="CM215" s="34"/>
      <c r="CN215" s="34"/>
      <c r="CO215" s="34"/>
      <c r="CP215" s="34"/>
      <c r="CQ215" s="34"/>
      <c r="CR215" s="34"/>
      <c r="CS215" s="34"/>
      <c r="CT215" s="34"/>
      <c r="CU215" s="34"/>
      <c r="CV215" s="34"/>
      <c r="CW215" s="34"/>
      <c r="CX215" s="34"/>
      <c r="CY215" s="34"/>
      <c r="CZ215" s="34"/>
      <c r="DA215" s="34"/>
      <c r="DB215" s="34"/>
      <c r="DC215" s="34"/>
      <c r="DD215" s="34"/>
      <c r="DE215" s="34"/>
      <c r="DF215" s="34"/>
      <c r="DG215" s="34"/>
      <c r="DH215" s="34"/>
      <c r="DI215" s="34"/>
      <c r="DJ215" s="34"/>
      <c r="DK215" s="34"/>
      <c r="DL215" s="34"/>
      <c r="DM215" s="34"/>
      <c r="DN215" s="34"/>
      <c r="DO215" s="34"/>
      <c r="DP215" s="34"/>
      <c r="DQ215" s="34"/>
      <c r="DR215" s="34"/>
      <c r="DS215" s="34"/>
      <c r="DT215" s="34"/>
      <c r="DU215" s="34"/>
      <c r="DV215" s="34"/>
      <c r="DW215" s="34"/>
      <c r="DX215" s="34"/>
      <c r="DY215" s="34"/>
      <c r="DZ215" s="34"/>
    </row>
    <row r="216" spans="1:130" x14ac:dyDescent="0.25">
      <c r="A216" s="34"/>
      <c r="B216" s="37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  <c r="CE216" s="34"/>
      <c r="CF216" s="34"/>
      <c r="CG216" s="34"/>
      <c r="CH216" s="34"/>
      <c r="CI216" s="34"/>
      <c r="CJ216" s="34"/>
      <c r="CK216" s="34"/>
      <c r="CL216" s="34"/>
      <c r="CM216" s="34"/>
      <c r="CN216" s="34"/>
      <c r="CO216" s="34"/>
      <c r="CP216" s="34"/>
      <c r="CQ216" s="34"/>
      <c r="CR216" s="34"/>
      <c r="CS216" s="34"/>
      <c r="CT216" s="34"/>
      <c r="CU216" s="34"/>
      <c r="CV216" s="34"/>
      <c r="CW216" s="34"/>
      <c r="CX216" s="34"/>
      <c r="CY216" s="34"/>
      <c r="CZ216" s="34"/>
      <c r="DA216" s="34"/>
      <c r="DB216" s="34"/>
      <c r="DC216" s="34"/>
      <c r="DD216" s="34"/>
      <c r="DE216" s="34"/>
      <c r="DF216" s="34"/>
      <c r="DG216" s="34"/>
      <c r="DH216" s="34"/>
      <c r="DI216" s="34"/>
      <c r="DJ216" s="34"/>
      <c r="DK216" s="34"/>
      <c r="DL216" s="34"/>
      <c r="DM216" s="34"/>
      <c r="DN216" s="34"/>
      <c r="DO216" s="34"/>
      <c r="DP216" s="34"/>
      <c r="DQ216" s="34"/>
      <c r="DR216" s="34"/>
      <c r="DS216" s="34"/>
      <c r="DT216" s="34"/>
      <c r="DU216" s="34"/>
      <c r="DV216" s="34"/>
      <c r="DW216" s="34"/>
      <c r="DX216" s="34"/>
      <c r="DY216" s="34"/>
      <c r="DZ216" s="34"/>
    </row>
    <row r="217" spans="1:130" x14ac:dyDescent="0.25">
      <c r="A217" s="34"/>
      <c r="B217" s="37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  <c r="CE217" s="34"/>
      <c r="CF217" s="34"/>
      <c r="CG217" s="34"/>
      <c r="CH217" s="34"/>
      <c r="CI217" s="34"/>
      <c r="CJ217" s="34"/>
      <c r="CK217" s="34"/>
      <c r="CL217" s="34"/>
      <c r="CM217" s="34"/>
      <c r="CN217" s="34"/>
      <c r="CO217" s="34"/>
      <c r="CP217" s="34"/>
      <c r="CQ217" s="34"/>
      <c r="CR217" s="34"/>
      <c r="CS217" s="34"/>
      <c r="CT217" s="34"/>
      <c r="CU217" s="34"/>
      <c r="CV217" s="34"/>
      <c r="CW217" s="34"/>
      <c r="CX217" s="34"/>
      <c r="CY217" s="34"/>
      <c r="CZ217" s="34"/>
      <c r="DA217" s="34"/>
      <c r="DB217" s="34"/>
      <c r="DC217" s="34"/>
      <c r="DD217" s="34"/>
      <c r="DE217" s="34"/>
      <c r="DF217" s="34"/>
      <c r="DG217" s="34"/>
      <c r="DH217" s="34"/>
      <c r="DI217" s="34"/>
      <c r="DJ217" s="34"/>
      <c r="DK217" s="34"/>
      <c r="DL217" s="34"/>
      <c r="DM217" s="34"/>
      <c r="DN217" s="34"/>
      <c r="DO217" s="34"/>
      <c r="DP217" s="34"/>
      <c r="DQ217" s="34"/>
      <c r="DR217" s="34"/>
      <c r="DS217" s="34"/>
      <c r="DT217" s="34"/>
      <c r="DU217" s="34"/>
      <c r="DV217" s="34"/>
      <c r="DW217" s="34"/>
      <c r="DX217" s="34"/>
      <c r="DY217" s="34"/>
      <c r="DZ217" s="34"/>
    </row>
    <row r="218" spans="1:130" x14ac:dyDescent="0.25">
      <c r="A218" s="34"/>
      <c r="B218" s="37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4"/>
      <c r="CF218" s="34"/>
      <c r="CG218" s="34"/>
      <c r="CH218" s="34"/>
      <c r="CI218" s="34"/>
      <c r="CJ218" s="34"/>
      <c r="CK218" s="34"/>
      <c r="CL218" s="34"/>
      <c r="CM218" s="34"/>
      <c r="CN218" s="34"/>
      <c r="CO218" s="34"/>
      <c r="CP218" s="34"/>
      <c r="CQ218" s="34"/>
      <c r="CR218" s="34"/>
      <c r="CS218" s="34"/>
      <c r="CT218" s="34"/>
      <c r="CU218" s="34"/>
      <c r="CV218" s="34"/>
      <c r="CW218" s="34"/>
      <c r="CX218" s="34"/>
      <c r="CY218" s="34"/>
      <c r="CZ218" s="34"/>
      <c r="DA218" s="34"/>
      <c r="DB218" s="34"/>
      <c r="DC218" s="34"/>
      <c r="DD218" s="34"/>
      <c r="DE218" s="34"/>
      <c r="DF218" s="34"/>
      <c r="DG218" s="34"/>
      <c r="DH218" s="34"/>
      <c r="DI218" s="34"/>
      <c r="DJ218" s="34"/>
      <c r="DK218" s="34"/>
      <c r="DL218" s="34"/>
      <c r="DM218" s="34"/>
      <c r="DN218" s="34"/>
      <c r="DO218" s="34"/>
      <c r="DP218" s="34"/>
      <c r="DQ218" s="34"/>
      <c r="DR218" s="34"/>
      <c r="DS218" s="34"/>
      <c r="DT218" s="34"/>
      <c r="DU218" s="34"/>
      <c r="DV218" s="34"/>
      <c r="DW218" s="34"/>
      <c r="DX218" s="34"/>
      <c r="DY218" s="34"/>
      <c r="DZ218" s="34"/>
    </row>
    <row r="219" spans="1:130" x14ac:dyDescent="0.25">
      <c r="A219" s="34"/>
      <c r="B219" s="37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  <c r="BZ219" s="34"/>
      <c r="CA219" s="34"/>
      <c r="CB219" s="34"/>
      <c r="CC219" s="34"/>
      <c r="CD219" s="34"/>
      <c r="CE219" s="34"/>
      <c r="CF219" s="34"/>
      <c r="CG219" s="34"/>
      <c r="CH219" s="34"/>
      <c r="CI219" s="34"/>
      <c r="CJ219" s="34"/>
      <c r="CK219" s="34"/>
      <c r="CL219" s="34"/>
      <c r="CM219" s="34"/>
      <c r="CN219" s="34"/>
      <c r="CO219" s="34"/>
      <c r="CP219" s="34"/>
      <c r="CQ219" s="34"/>
      <c r="CR219" s="34"/>
      <c r="CS219" s="34"/>
      <c r="CT219" s="34"/>
      <c r="CU219" s="34"/>
      <c r="CV219" s="34"/>
      <c r="CW219" s="34"/>
      <c r="CX219" s="34"/>
      <c r="CY219" s="34"/>
      <c r="CZ219" s="34"/>
      <c r="DA219" s="34"/>
      <c r="DB219" s="34"/>
      <c r="DC219" s="34"/>
      <c r="DD219" s="34"/>
      <c r="DE219" s="34"/>
      <c r="DF219" s="34"/>
      <c r="DG219" s="34"/>
      <c r="DH219" s="34"/>
      <c r="DI219" s="34"/>
      <c r="DJ219" s="34"/>
      <c r="DK219" s="34"/>
      <c r="DL219" s="34"/>
      <c r="DM219" s="34"/>
      <c r="DN219" s="34"/>
      <c r="DO219" s="34"/>
      <c r="DP219" s="34"/>
      <c r="DQ219" s="34"/>
      <c r="DR219" s="34"/>
      <c r="DS219" s="34"/>
      <c r="DT219" s="34"/>
      <c r="DU219" s="34"/>
      <c r="DV219" s="34"/>
      <c r="DW219" s="34"/>
      <c r="DX219" s="34"/>
      <c r="DY219" s="34"/>
      <c r="DZ219" s="34"/>
    </row>
    <row r="220" spans="1:130" x14ac:dyDescent="0.25">
      <c r="A220" s="34"/>
      <c r="B220" s="37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  <c r="CA220" s="34"/>
      <c r="CB220" s="34"/>
      <c r="CC220" s="34"/>
      <c r="CD220" s="34"/>
      <c r="CE220" s="34"/>
      <c r="CF220" s="34"/>
      <c r="CG220" s="34"/>
      <c r="CH220" s="34"/>
      <c r="CI220" s="34"/>
      <c r="CJ220" s="34"/>
      <c r="CK220" s="34"/>
      <c r="CL220" s="34"/>
      <c r="CM220" s="34"/>
      <c r="CN220" s="34"/>
      <c r="CO220" s="34"/>
      <c r="CP220" s="34"/>
      <c r="CQ220" s="34"/>
      <c r="CR220" s="34"/>
      <c r="CS220" s="34"/>
      <c r="CT220" s="34"/>
      <c r="CU220" s="34"/>
      <c r="CV220" s="34"/>
      <c r="CW220" s="34"/>
      <c r="CX220" s="34"/>
      <c r="CY220" s="34"/>
      <c r="CZ220" s="34"/>
      <c r="DA220" s="34"/>
      <c r="DB220" s="34"/>
      <c r="DC220" s="34"/>
      <c r="DD220" s="34"/>
      <c r="DE220" s="34"/>
      <c r="DF220" s="34"/>
      <c r="DG220" s="34"/>
      <c r="DH220" s="34"/>
      <c r="DI220" s="34"/>
      <c r="DJ220" s="34"/>
      <c r="DK220" s="34"/>
      <c r="DL220" s="34"/>
      <c r="DM220" s="34"/>
      <c r="DN220" s="34"/>
      <c r="DO220" s="34"/>
      <c r="DP220" s="34"/>
      <c r="DQ220" s="34"/>
      <c r="DR220" s="34"/>
      <c r="DS220" s="34"/>
      <c r="DT220" s="34"/>
      <c r="DU220" s="34"/>
      <c r="DV220" s="34"/>
      <c r="DW220" s="34"/>
      <c r="DX220" s="34"/>
      <c r="DY220" s="34"/>
      <c r="DZ220" s="34"/>
    </row>
    <row r="221" spans="1:130" x14ac:dyDescent="0.25">
      <c r="A221" s="34"/>
      <c r="B221" s="37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  <c r="BZ221" s="34"/>
      <c r="CA221" s="34"/>
      <c r="CB221" s="34"/>
      <c r="CC221" s="34"/>
      <c r="CD221" s="34"/>
      <c r="CE221" s="34"/>
      <c r="CF221" s="34"/>
      <c r="CG221" s="34"/>
      <c r="CH221" s="34"/>
      <c r="CI221" s="34"/>
      <c r="CJ221" s="34"/>
      <c r="CK221" s="34"/>
      <c r="CL221" s="34"/>
      <c r="CM221" s="34"/>
      <c r="CN221" s="34"/>
      <c r="CO221" s="34"/>
      <c r="CP221" s="34"/>
      <c r="CQ221" s="34"/>
      <c r="CR221" s="34"/>
      <c r="CS221" s="34"/>
      <c r="CT221" s="34"/>
      <c r="CU221" s="34"/>
      <c r="CV221" s="34"/>
      <c r="CW221" s="34"/>
      <c r="CX221" s="34"/>
      <c r="CY221" s="34"/>
      <c r="CZ221" s="34"/>
      <c r="DA221" s="34"/>
      <c r="DB221" s="34"/>
      <c r="DC221" s="34"/>
      <c r="DD221" s="34"/>
      <c r="DE221" s="34"/>
      <c r="DF221" s="34"/>
      <c r="DG221" s="34"/>
      <c r="DH221" s="34"/>
      <c r="DI221" s="34"/>
      <c r="DJ221" s="34"/>
      <c r="DK221" s="34"/>
      <c r="DL221" s="34"/>
      <c r="DM221" s="34"/>
      <c r="DN221" s="34"/>
      <c r="DO221" s="34"/>
      <c r="DP221" s="34"/>
      <c r="DQ221" s="34"/>
      <c r="DR221" s="34"/>
      <c r="DS221" s="34"/>
      <c r="DT221" s="34"/>
      <c r="DU221" s="34"/>
      <c r="DV221" s="34"/>
      <c r="DW221" s="34"/>
      <c r="DX221" s="34"/>
      <c r="DY221" s="34"/>
      <c r="DZ221" s="34"/>
    </row>
    <row r="222" spans="1:130" x14ac:dyDescent="0.25">
      <c r="A222" s="34"/>
      <c r="B222" s="37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  <c r="CA222" s="34"/>
      <c r="CB222" s="34"/>
      <c r="CC222" s="34"/>
      <c r="CD222" s="34"/>
      <c r="CE222" s="34"/>
      <c r="CF222" s="34"/>
      <c r="CG222" s="34"/>
      <c r="CH222" s="34"/>
      <c r="CI222" s="34"/>
      <c r="CJ222" s="34"/>
      <c r="CK222" s="34"/>
      <c r="CL222" s="34"/>
      <c r="CM222" s="34"/>
      <c r="CN222" s="34"/>
      <c r="CO222" s="34"/>
      <c r="CP222" s="34"/>
      <c r="CQ222" s="34"/>
      <c r="CR222" s="34"/>
      <c r="CS222" s="34"/>
      <c r="CT222" s="34"/>
      <c r="CU222" s="34"/>
      <c r="CV222" s="34"/>
      <c r="CW222" s="34"/>
      <c r="CX222" s="34"/>
      <c r="CY222" s="34"/>
      <c r="CZ222" s="34"/>
      <c r="DA222" s="34"/>
      <c r="DB222" s="34"/>
      <c r="DC222" s="34"/>
      <c r="DD222" s="34"/>
      <c r="DE222" s="34"/>
      <c r="DF222" s="34"/>
      <c r="DG222" s="34"/>
      <c r="DH222" s="34"/>
      <c r="DI222" s="34"/>
      <c r="DJ222" s="34"/>
      <c r="DK222" s="34"/>
      <c r="DL222" s="34"/>
      <c r="DM222" s="34"/>
      <c r="DN222" s="34"/>
      <c r="DO222" s="34"/>
      <c r="DP222" s="34"/>
      <c r="DQ222" s="34"/>
      <c r="DR222" s="34"/>
      <c r="DS222" s="34"/>
      <c r="DT222" s="34"/>
      <c r="DU222" s="34"/>
      <c r="DV222" s="34"/>
      <c r="DW222" s="34"/>
      <c r="DX222" s="34"/>
      <c r="DY222" s="34"/>
      <c r="DZ222" s="34"/>
    </row>
    <row r="223" spans="1:130" x14ac:dyDescent="0.25">
      <c r="A223" s="34"/>
      <c r="B223" s="37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4"/>
      <c r="CA223" s="34"/>
      <c r="CB223" s="34"/>
      <c r="CC223" s="34"/>
      <c r="CD223" s="34"/>
      <c r="CE223" s="34"/>
      <c r="CF223" s="34"/>
      <c r="CG223" s="34"/>
      <c r="CH223" s="34"/>
      <c r="CI223" s="34"/>
      <c r="CJ223" s="34"/>
      <c r="CK223" s="34"/>
      <c r="CL223" s="34"/>
      <c r="CM223" s="34"/>
      <c r="CN223" s="34"/>
      <c r="CO223" s="34"/>
      <c r="CP223" s="34"/>
      <c r="CQ223" s="34"/>
      <c r="CR223" s="34"/>
      <c r="CS223" s="34"/>
      <c r="CT223" s="34"/>
      <c r="CU223" s="34"/>
      <c r="CV223" s="34"/>
      <c r="CW223" s="34"/>
      <c r="CX223" s="34"/>
      <c r="CY223" s="34"/>
      <c r="CZ223" s="34"/>
      <c r="DA223" s="34"/>
      <c r="DB223" s="34"/>
      <c r="DC223" s="34"/>
      <c r="DD223" s="34"/>
      <c r="DE223" s="34"/>
      <c r="DF223" s="34"/>
      <c r="DG223" s="34"/>
      <c r="DH223" s="34"/>
      <c r="DI223" s="34"/>
      <c r="DJ223" s="34"/>
      <c r="DK223" s="34"/>
      <c r="DL223" s="34"/>
      <c r="DM223" s="34"/>
      <c r="DN223" s="34"/>
      <c r="DO223" s="34"/>
      <c r="DP223" s="34"/>
      <c r="DQ223" s="34"/>
      <c r="DR223" s="34"/>
      <c r="DS223" s="34"/>
      <c r="DT223" s="34"/>
      <c r="DU223" s="34"/>
      <c r="DV223" s="34"/>
      <c r="DW223" s="34"/>
      <c r="DX223" s="34"/>
      <c r="DY223" s="34"/>
      <c r="DZ223" s="34"/>
    </row>
    <row r="224" spans="1:130" x14ac:dyDescent="0.25">
      <c r="A224" s="34"/>
      <c r="B224" s="37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4"/>
      <c r="CA224" s="34"/>
      <c r="CB224" s="34"/>
      <c r="CC224" s="34"/>
      <c r="CD224" s="34"/>
      <c r="CE224" s="34"/>
      <c r="CF224" s="34"/>
      <c r="CG224" s="34"/>
      <c r="CH224" s="34"/>
      <c r="CI224" s="34"/>
      <c r="CJ224" s="34"/>
      <c r="CK224" s="34"/>
      <c r="CL224" s="34"/>
      <c r="CM224" s="34"/>
      <c r="CN224" s="34"/>
      <c r="CO224" s="34"/>
      <c r="CP224" s="34"/>
      <c r="CQ224" s="34"/>
      <c r="CR224" s="34"/>
      <c r="CS224" s="34"/>
      <c r="CT224" s="34"/>
      <c r="CU224" s="34"/>
      <c r="CV224" s="34"/>
      <c r="CW224" s="34"/>
      <c r="CX224" s="34"/>
      <c r="CY224" s="34"/>
      <c r="CZ224" s="34"/>
      <c r="DA224" s="34"/>
      <c r="DB224" s="34"/>
      <c r="DC224" s="34"/>
      <c r="DD224" s="34"/>
      <c r="DE224" s="34"/>
      <c r="DF224" s="34"/>
      <c r="DG224" s="34"/>
      <c r="DH224" s="34"/>
      <c r="DI224" s="34"/>
      <c r="DJ224" s="34"/>
      <c r="DK224" s="34"/>
      <c r="DL224" s="34"/>
      <c r="DM224" s="34"/>
      <c r="DN224" s="34"/>
      <c r="DO224" s="34"/>
      <c r="DP224" s="34"/>
      <c r="DQ224" s="34"/>
      <c r="DR224" s="34"/>
      <c r="DS224" s="34"/>
      <c r="DT224" s="34"/>
      <c r="DU224" s="34"/>
      <c r="DV224" s="34"/>
      <c r="DW224" s="34"/>
      <c r="DX224" s="34"/>
      <c r="DY224" s="34"/>
      <c r="DZ224" s="34"/>
    </row>
    <row r="225" spans="1:130" x14ac:dyDescent="0.25">
      <c r="A225" s="34"/>
      <c r="B225" s="37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4"/>
      <c r="CA225" s="34"/>
      <c r="CB225" s="34"/>
      <c r="CC225" s="34"/>
      <c r="CD225" s="34"/>
      <c r="CE225" s="34"/>
      <c r="CF225" s="34"/>
      <c r="CG225" s="34"/>
      <c r="CH225" s="34"/>
      <c r="CI225" s="34"/>
      <c r="CJ225" s="34"/>
      <c r="CK225" s="34"/>
      <c r="CL225" s="34"/>
      <c r="CM225" s="34"/>
      <c r="CN225" s="34"/>
      <c r="CO225" s="34"/>
      <c r="CP225" s="34"/>
      <c r="CQ225" s="34"/>
      <c r="CR225" s="34"/>
      <c r="CS225" s="34"/>
      <c r="CT225" s="34"/>
      <c r="CU225" s="34"/>
      <c r="CV225" s="34"/>
      <c r="CW225" s="34"/>
      <c r="CX225" s="34"/>
      <c r="CY225" s="34"/>
      <c r="CZ225" s="34"/>
      <c r="DA225" s="34"/>
      <c r="DB225" s="34"/>
      <c r="DC225" s="34"/>
      <c r="DD225" s="34"/>
      <c r="DE225" s="34"/>
      <c r="DF225" s="34"/>
      <c r="DG225" s="34"/>
      <c r="DH225" s="34"/>
      <c r="DI225" s="34"/>
      <c r="DJ225" s="34"/>
      <c r="DK225" s="34"/>
      <c r="DL225" s="34"/>
      <c r="DM225" s="34"/>
      <c r="DN225" s="34"/>
      <c r="DO225" s="34"/>
      <c r="DP225" s="34"/>
      <c r="DQ225" s="34"/>
      <c r="DR225" s="34"/>
      <c r="DS225" s="34"/>
      <c r="DT225" s="34"/>
      <c r="DU225" s="34"/>
      <c r="DV225" s="34"/>
      <c r="DW225" s="34"/>
      <c r="DX225" s="34"/>
      <c r="DY225" s="34"/>
      <c r="DZ225" s="34"/>
    </row>
    <row r="226" spans="1:130" x14ac:dyDescent="0.25">
      <c r="A226" s="34"/>
      <c r="B226" s="37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4"/>
      <c r="CA226" s="34"/>
      <c r="CB226" s="34"/>
      <c r="CC226" s="34"/>
      <c r="CD226" s="34"/>
      <c r="CE226" s="34"/>
      <c r="CF226" s="34"/>
      <c r="CG226" s="34"/>
      <c r="CH226" s="34"/>
      <c r="CI226" s="34"/>
      <c r="CJ226" s="34"/>
      <c r="CK226" s="34"/>
      <c r="CL226" s="34"/>
      <c r="CM226" s="34"/>
      <c r="CN226" s="34"/>
      <c r="CO226" s="34"/>
      <c r="CP226" s="34"/>
      <c r="CQ226" s="34"/>
      <c r="CR226" s="34"/>
      <c r="CS226" s="34"/>
      <c r="CT226" s="34"/>
      <c r="CU226" s="34"/>
      <c r="CV226" s="34"/>
      <c r="CW226" s="34"/>
      <c r="CX226" s="34"/>
      <c r="CY226" s="34"/>
      <c r="CZ226" s="34"/>
      <c r="DA226" s="34"/>
      <c r="DB226" s="34"/>
      <c r="DC226" s="34"/>
      <c r="DD226" s="34"/>
      <c r="DE226" s="34"/>
      <c r="DF226" s="34"/>
      <c r="DG226" s="34"/>
      <c r="DH226" s="34"/>
      <c r="DI226" s="34"/>
      <c r="DJ226" s="34"/>
      <c r="DK226" s="34"/>
      <c r="DL226" s="34"/>
      <c r="DM226" s="34"/>
      <c r="DN226" s="34"/>
      <c r="DO226" s="34"/>
      <c r="DP226" s="34"/>
      <c r="DQ226" s="34"/>
      <c r="DR226" s="34"/>
      <c r="DS226" s="34"/>
      <c r="DT226" s="34"/>
      <c r="DU226" s="34"/>
      <c r="DV226" s="34"/>
      <c r="DW226" s="34"/>
      <c r="DX226" s="34"/>
      <c r="DY226" s="34"/>
      <c r="DZ226" s="34"/>
    </row>
    <row r="227" spans="1:130" x14ac:dyDescent="0.25">
      <c r="A227" s="34"/>
      <c r="B227" s="37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4"/>
      <c r="CA227" s="34"/>
      <c r="CB227" s="34"/>
      <c r="CC227" s="34"/>
      <c r="CD227" s="34"/>
      <c r="CE227" s="34"/>
      <c r="CF227" s="34"/>
      <c r="CG227" s="34"/>
      <c r="CH227" s="34"/>
      <c r="CI227" s="34"/>
      <c r="CJ227" s="34"/>
      <c r="CK227" s="34"/>
      <c r="CL227" s="34"/>
      <c r="CM227" s="34"/>
      <c r="CN227" s="34"/>
      <c r="CO227" s="34"/>
      <c r="CP227" s="34"/>
      <c r="CQ227" s="34"/>
      <c r="CR227" s="34"/>
      <c r="CS227" s="34"/>
      <c r="CT227" s="34"/>
      <c r="CU227" s="34"/>
      <c r="CV227" s="34"/>
      <c r="CW227" s="34"/>
      <c r="CX227" s="34"/>
      <c r="CY227" s="34"/>
      <c r="CZ227" s="34"/>
      <c r="DA227" s="34"/>
      <c r="DB227" s="34"/>
      <c r="DC227" s="34"/>
      <c r="DD227" s="34"/>
      <c r="DE227" s="34"/>
      <c r="DF227" s="34"/>
      <c r="DG227" s="34"/>
      <c r="DH227" s="34"/>
      <c r="DI227" s="34"/>
      <c r="DJ227" s="34"/>
      <c r="DK227" s="34"/>
      <c r="DL227" s="34"/>
      <c r="DM227" s="34"/>
      <c r="DN227" s="34"/>
      <c r="DO227" s="34"/>
      <c r="DP227" s="34"/>
      <c r="DQ227" s="34"/>
      <c r="DR227" s="34"/>
      <c r="DS227" s="34"/>
      <c r="DT227" s="34"/>
      <c r="DU227" s="34"/>
      <c r="DV227" s="34"/>
      <c r="DW227" s="34"/>
      <c r="DX227" s="34"/>
      <c r="DY227" s="34"/>
      <c r="DZ227" s="34"/>
    </row>
    <row r="228" spans="1:130" x14ac:dyDescent="0.25">
      <c r="A228" s="34"/>
      <c r="B228" s="37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  <c r="BZ228" s="34"/>
      <c r="CA228" s="34"/>
      <c r="CB228" s="34"/>
      <c r="CC228" s="34"/>
      <c r="CD228" s="34"/>
      <c r="CE228" s="34"/>
      <c r="CF228" s="34"/>
      <c r="CG228" s="34"/>
      <c r="CH228" s="34"/>
      <c r="CI228" s="34"/>
      <c r="CJ228" s="34"/>
      <c r="CK228" s="34"/>
      <c r="CL228" s="34"/>
      <c r="CM228" s="34"/>
      <c r="CN228" s="34"/>
      <c r="CO228" s="34"/>
      <c r="CP228" s="34"/>
      <c r="CQ228" s="34"/>
      <c r="CR228" s="34"/>
      <c r="CS228" s="34"/>
      <c r="CT228" s="34"/>
      <c r="CU228" s="34"/>
      <c r="CV228" s="34"/>
      <c r="CW228" s="34"/>
      <c r="CX228" s="34"/>
      <c r="CY228" s="34"/>
      <c r="CZ228" s="34"/>
      <c r="DA228" s="34"/>
      <c r="DB228" s="34"/>
      <c r="DC228" s="34"/>
      <c r="DD228" s="34"/>
      <c r="DE228" s="34"/>
      <c r="DF228" s="34"/>
      <c r="DG228" s="34"/>
      <c r="DH228" s="34"/>
      <c r="DI228" s="34"/>
      <c r="DJ228" s="34"/>
      <c r="DK228" s="34"/>
      <c r="DL228" s="34"/>
      <c r="DM228" s="34"/>
      <c r="DN228" s="34"/>
      <c r="DO228" s="34"/>
      <c r="DP228" s="34"/>
      <c r="DQ228" s="34"/>
      <c r="DR228" s="34"/>
      <c r="DS228" s="34"/>
      <c r="DT228" s="34"/>
      <c r="DU228" s="34"/>
      <c r="DV228" s="34"/>
      <c r="DW228" s="34"/>
      <c r="DX228" s="34"/>
      <c r="DY228" s="34"/>
      <c r="DZ228" s="34"/>
    </row>
    <row r="229" spans="1:130" x14ac:dyDescent="0.25">
      <c r="A229" s="34"/>
      <c r="B229" s="37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  <c r="BZ229" s="34"/>
      <c r="CA229" s="34"/>
      <c r="CB229" s="34"/>
      <c r="CC229" s="34"/>
      <c r="CD229" s="34"/>
      <c r="CE229" s="34"/>
      <c r="CF229" s="34"/>
      <c r="CG229" s="34"/>
      <c r="CH229" s="34"/>
      <c r="CI229" s="34"/>
      <c r="CJ229" s="34"/>
      <c r="CK229" s="34"/>
      <c r="CL229" s="34"/>
      <c r="CM229" s="34"/>
      <c r="CN229" s="34"/>
      <c r="CO229" s="34"/>
      <c r="CP229" s="34"/>
      <c r="CQ229" s="34"/>
      <c r="CR229" s="34"/>
      <c r="CS229" s="34"/>
      <c r="CT229" s="34"/>
      <c r="CU229" s="34"/>
      <c r="CV229" s="34"/>
      <c r="CW229" s="34"/>
      <c r="CX229" s="34"/>
      <c r="CY229" s="34"/>
      <c r="CZ229" s="34"/>
      <c r="DA229" s="34"/>
      <c r="DB229" s="34"/>
      <c r="DC229" s="34"/>
      <c r="DD229" s="34"/>
      <c r="DE229" s="34"/>
      <c r="DF229" s="34"/>
      <c r="DG229" s="34"/>
      <c r="DH229" s="34"/>
      <c r="DI229" s="34"/>
      <c r="DJ229" s="34"/>
      <c r="DK229" s="34"/>
      <c r="DL229" s="34"/>
      <c r="DM229" s="34"/>
      <c r="DN229" s="34"/>
      <c r="DO229" s="34"/>
      <c r="DP229" s="34"/>
      <c r="DQ229" s="34"/>
      <c r="DR229" s="34"/>
      <c r="DS229" s="34"/>
      <c r="DT229" s="34"/>
      <c r="DU229" s="34"/>
      <c r="DV229" s="34"/>
      <c r="DW229" s="34"/>
      <c r="DX229" s="34"/>
      <c r="DY229" s="34"/>
      <c r="DZ229" s="34"/>
    </row>
    <row r="230" spans="1:130" x14ac:dyDescent="0.25">
      <c r="A230" s="34"/>
      <c r="B230" s="37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  <c r="CA230" s="34"/>
      <c r="CB230" s="34"/>
      <c r="CC230" s="34"/>
      <c r="CD230" s="34"/>
      <c r="CE230" s="34"/>
      <c r="CF230" s="34"/>
      <c r="CG230" s="34"/>
      <c r="CH230" s="34"/>
      <c r="CI230" s="34"/>
      <c r="CJ230" s="34"/>
      <c r="CK230" s="34"/>
      <c r="CL230" s="34"/>
      <c r="CM230" s="34"/>
      <c r="CN230" s="34"/>
      <c r="CO230" s="34"/>
      <c r="CP230" s="34"/>
      <c r="CQ230" s="34"/>
      <c r="CR230" s="34"/>
      <c r="CS230" s="34"/>
      <c r="CT230" s="34"/>
      <c r="CU230" s="34"/>
      <c r="CV230" s="34"/>
      <c r="CW230" s="34"/>
      <c r="CX230" s="34"/>
      <c r="CY230" s="34"/>
      <c r="CZ230" s="34"/>
      <c r="DA230" s="34"/>
      <c r="DB230" s="34"/>
      <c r="DC230" s="34"/>
      <c r="DD230" s="34"/>
      <c r="DE230" s="34"/>
      <c r="DF230" s="34"/>
      <c r="DG230" s="34"/>
      <c r="DH230" s="34"/>
      <c r="DI230" s="34"/>
      <c r="DJ230" s="34"/>
      <c r="DK230" s="34"/>
      <c r="DL230" s="34"/>
      <c r="DM230" s="34"/>
      <c r="DN230" s="34"/>
      <c r="DO230" s="34"/>
      <c r="DP230" s="34"/>
      <c r="DQ230" s="34"/>
      <c r="DR230" s="34"/>
      <c r="DS230" s="34"/>
      <c r="DT230" s="34"/>
      <c r="DU230" s="34"/>
      <c r="DV230" s="34"/>
      <c r="DW230" s="34"/>
      <c r="DX230" s="34"/>
      <c r="DY230" s="34"/>
      <c r="DZ230" s="34"/>
    </row>
    <row r="231" spans="1:130" x14ac:dyDescent="0.25">
      <c r="A231" s="34"/>
      <c r="B231" s="37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  <c r="BZ231" s="34"/>
      <c r="CA231" s="34"/>
      <c r="CB231" s="34"/>
      <c r="CC231" s="34"/>
      <c r="CD231" s="34"/>
      <c r="CE231" s="34"/>
      <c r="CF231" s="34"/>
      <c r="CG231" s="34"/>
      <c r="CH231" s="34"/>
      <c r="CI231" s="34"/>
      <c r="CJ231" s="34"/>
      <c r="CK231" s="34"/>
      <c r="CL231" s="34"/>
      <c r="CM231" s="34"/>
      <c r="CN231" s="34"/>
      <c r="CO231" s="34"/>
      <c r="CP231" s="34"/>
      <c r="CQ231" s="34"/>
      <c r="CR231" s="34"/>
      <c r="CS231" s="34"/>
      <c r="CT231" s="34"/>
      <c r="CU231" s="34"/>
      <c r="CV231" s="34"/>
      <c r="CW231" s="34"/>
      <c r="CX231" s="34"/>
      <c r="CY231" s="34"/>
      <c r="CZ231" s="34"/>
      <c r="DA231" s="34"/>
      <c r="DB231" s="34"/>
      <c r="DC231" s="34"/>
      <c r="DD231" s="34"/>
      <c r="DE231" s="34"/>
      <c r="DF231" s="34"/>
      <c r="DG231" s="34"/>
      <c r="DH231" s="34"/>
      <c r="DI231" s="34"/>
      <c r="DJ231" s="34"/>
      <c r="DK231" s="34"/>
      <c r="DL231" s="34"/>
      <c r="DM231" s="34"/>
      <c r="DN231" s="34"/>
      <c r="DO231" s="34"/>
      <c r="DP231" s="34"/>
      <c r="DQ231" s="34"/>
      <c r="DR231" s="34"/>
      <c r="DS231" s="34"/>
      <c r="DT231" s="34"/>
      <c r="DU231" s="34"/>
      <c r="DV231" s="34"/>
      <c r="DW231" s="34"/>
      <c r="DX231" s="34"/>
      <c r="DY231" s="34"/>
      <c r="DZ231" s="34"/>
    </row>
    <row r="232" spans="1:130" x14ac:dyDescent="0.25">
      <c r="A232" s="34"/>
      <c r="B232" s="37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  <c r="BZ232" s="34"/>
      <c r="CA232" s="34"/>
      <c r="CB232" s="34"/>
      <c r="CC232" s="34"/>
      <c r="CD232" s="34"/>
      <c r="CE232" s="34"/>
      <c r="CF232" s="34"/>
      <c r="CG232" s="34"/>
      <c r="CH232" s="34"/>
      <c r="CI232" s="34"/>
      <c r="CJ232" s="34"/>
      <c r="CK232" s="34"/>
      <c r="CL232" s="34"/>
      <c r="CM232" s="34"/>
      <c r="CN232" s="34"/>
      <c r="CO232" s="34"/>
      <c r="CP232" s="34"/>
      <c r="CQ232" s="34"/>
      <c r="CR232" s="34"/>
      <c r="CS232" s="34"/>
      <c r="CT232" s="34"/>
      <c r="CU232" s="34"/>
      <c r="CV232" s="34"/>
      <c r="CW232" s="34"/>
      <c r="CX232" s="34"/>
      <c r="CY232" s="34"/>
      <c r="CZ232" s="34"/>
      <c r="DA232" s="34"/>
      <c r="DB232" s="34"/>
      <c r="DC232" s="34"/>
      <c r="DD232" s="34"/>
      <c r="DE232" s="34"/>
      <c r="DF232" s="34"/>
      <c r="DG232" s="34"/>
      <c r="DH232" s="34"/>
      <c r="DI232" s="34"/>
      <c r="DJ232" s="34"/>
      <c r="DK232" s="34"/>
      <c r="DL232" s="34"/>
      <c r="DM232" s="34"/>
      <c r="DN232" s="34"/>
      <c r="DO232" s="34"/>
      <c r="DP232" s="34"/>
      <c r="DQ232" s="34"/>
      <c r="DR232" s="34"/>
      <c r="DS232" s="34"/>
      <c r="DT232" s="34"/>
      <c r="DU232" s="34"/>
      <c r="DV232" s="34"/>
      <c r="DW232" s="34"/>
      <c r="DX232" s="34"/>
      <c r="DY232" s="34"/>
      <c r="DZ232" s="34"/>
    </row>
    <row r="233" spans="1:130" x14ac:dyDescent="0.25">
      <c r="A233" s="34"/>
      <c r="B233" s="37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  <c r="BZ233" s="34"/>
      <c r="CA233" s="34"/>
      <c r="CB233" s="34"/>
      <c r="CC233" s="34"/>
      <c r="CD233" s="34"/>
      <c r="CE233" s="34"/>
      <c r="CF233" s="34"/>
      <c r="CG233" s="34"/>
      <c r="CH233" s="34"/>
      <c r="CI233" s="34"/>
      <c r="CJ233" s="34"/>
      <c r="CK233" s="34"/>
      <c r="CL233" s="34"/>
      <c r="CM233" s="34"/>
      <c r="CN233" s="34"/>
      <c r="CO233" s="34"/>
      <c r="CP233" s="34"/>
      <c r="CQ233" s="34"/>
      <c r="CR233" s="34"/>
      <c r="CS233" s="34"/>
      <c r="CT233" s="34"/>
      <c r="CU233" s="34"/>
      <c r="CV233" s="34"/>
      <c r="CW233" s="34"/>
      <c r="CX233" s="34"/>
      <c r="CY233" s="34"/>
      <c r="CZ233" s="34"/>
      <c r="DA233" s="34"/>
      <c r="DB233" s="34"/>
      <c r="DC233" s="34"/>
      <c r="DD233" s="34"/>
      <c r="DE233" s="34"/>
      <c r="DF233" s="34"/>
      <c r="DG233" s="34"/>
      <c r="DH233" s="34"/>
      <c r="DI233" s="34"/>
      <c r="DJ233" s="34"/>
      <c r="DK233" s="34"/>
      <c r="DL233" s="34"/>
      <c r="DM233" s="34"/>
      <c r="DN233" s="34"/>
      <c r="DO233" s="34"/>
      <c r="DP233" s="34"/>
      <c r="DQ233" s="34"/>
      <c r="DR233" s="34"/>
      <c r="DS233" s="34"/>
      <c r="DT233" s="34"/>
      <c r="DU233" s="34"/>
      <c r="DV233" s="34"/>
      <c r="DW233" s="34"/>
      <c r="DX233" s="34"/>
      <c r="DY233" s="34"/>
      <c r="DZ233" s="34"/>
    </row>
    <row r="234" spans="1:130" x14ac:dyDescent="0.25">
      <c r="A234" s="34"/>
      <c r="B234" s="37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  <c r="BZ234" s="34"/>
      <c r="CA234" s="34"/>
      <c r="CB234" s="34"/>
      <c r="CC234" s="34"/>
      <c r="CD234" s="34"/>
      <c r="CE234" s="34"/>
      <c r="CF234" s="34"/>
      <c r="CG234" s="34"/>
      <c r="CH234" s="34"/>
      <c r="CI234" s="34"/>
      <c r="CJ234" s="34"/>
      <c r="CK234" s="34"/>
      <c r="CL234" s="34"/>
      <c r="CM234" s="34"/>
      <c r="CN234" s="34"/>
      <c r="CO234" s="34"/>
      <c r="CP234" s="34"/>
      <c r="CQ234" s="34"/>
      <c r="CR234" s="34"/>
      <c r="CS234" s="34"/>
      <c r="CT234" s="34"/>
      <c r="CU234" s="34"/>
      <c r="CV234" s="34"/>
      <c r="CW234" s="34"/>
      <c r="CX234" s="34"/>
      <c r="CY234" s="34"/>
      <c r="CZ234" s="34"/>
      <c r="DA234" s="34"/>
      <c r="DB234" s="34"/>
      <c r="DC234" s="34"/>
      <c r="DD234" s="34"/>
      <c r="DE234" s="34"/>
      <c r="DF234" s="34"/>
      <c r="DG234" s="34"/>
      <c r="DH234" s="34"/>
      <c r="DI234" s="34"/>
      <c r="DJ234" s="34"/>
      <c r="DK234" s="34"/>
      <c r="DL234" s="34"/>
      <c r="DM234" s="34"/>
      <c r="DN234" s="34"/>
      <c r="DO234" s="34"/>
      <c r="DP234" s="34"/>
      <c r="DQ234" s="34"/>
      <c r="DR234" s="34"/>
      <c r="DS234" s="34"/>
      <c r="DT234" s="34"/>
      <c r="DU234" s="34"/>
      <c r="DV234" s="34"/>
      <c r="DW234" s="34"/>
      <c r="DX234" s="34"/>
      <c r="DY234" s="34"/>
      <c r="DZ234" s="34"/>
    </row>
    <row r="235" spans="1:130" x14ac:dyDescent="0.25">
      <c r="A235" s="34"/>
      <c r="B235" s="37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  <c r="BZ235" s="34"/>
      <c r="CA235" s="34"/>
      <c r="CB235" s="34"/>
      <c r="CC235" s="34"/>
      <c r="CD235" s="34"/>
      <c r="CE235" s="34"/>
      <c r="CF235" s="34"/>
      <c r="CG235" s="34"/>
      <c r="CH235" s="34"/>
      <c r="CI235" s="34"/>
      <c r="CJ235" s="34"/>
      <c r="CK235" s="34"/>
      <c r="CL235" s="34"/>
      <c r="CM235" s="34"/>
      <c r="CN235" s="34"/>
      <c r="CO235" s="34"/>
      <c r="CP235" s="34"/>
      <c r="CQ235" s="34"/>
      <c r="CR235" s="34"/>
      <c r="CS235" s="34"/>
      <c r="CT235" s="34"/>
      <c r="CU235" s="34"/>
      <c r="CV235" s="34"/>
      <c r="CW235" s="34"/>
      <c r="CX235" s="34"/>
      <c r="CY235" s="34"/>
      <c r="CZ235" s="34"/>
      <c r="DA235" s="34"/>
      <c r="DB235" s="34"/>
      <c r="DC235" s="34"/>
      <c r="DD235" s="34"/>
      <c r="DE235" s="34"/>
      <c r="DF235" s="34"/>
      <c r="DG235" s="34"/>
      <c r="DH235" s="34"/>
      <c r="DI235" s="34"/>
      <c r="DJ235" s="34"/>
      <c r="DK235" s="34"/>
      <c r="DL235" s="34"/>
      <c r="DM235" s="34"/>
      <c r="DN235" s="34"/>
      <c r="DO235" s="34"/>
      <c r="DP235" s="34"/>
      <c r="DQ235" s="34"/>
      <c r="DR235" s="34"/>
      <c r="DS235" s="34"/>
      <c r="DT235" s="34"/>
      <c r="DU235" s="34"/>
      <c r="DV235" s="34"/>
      <c r="DW235" s="34"/>
      <c r="DX235" s="34"/>
      <c r="DY235" s="34"/>
      <c r="DZ235" s="34"/>
    </row>
    <row r="236" spans="1:130" x14ac:dyDescent="0.25">
      <c r="A236" s="34"/>
      <c r="B236" s="37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  <c r="BZ236" s="34"/>
      <c r="CA236" s="34"/>
      <c r="CB236" s="34"/>
      <c r="CC236" s="34"/>
      <c r="CD236" s="34"/>
      <c r="CE236" s="34"/>
      <c r="CF236" s="34"/>
      <c r="CG236" s="34"/>
      <c r="CH236" s="34"/>
      <c r="CI236" s="34"/>
      <c r="CJ236" s="34"/>
      <c r="CK236" s="34"/>
      <c r="CL236" s="34"/>
      <c r="CM236" s="34"/>
      <c r="CN236" s="34"/>
      <c r="CO236" s="34"/>
      <c r="CP236" s="34"/>
      <c r="CQ236" s="34"/>
      <c r="CR236" s="34"/>
      <c r="CS236" s="34"/>
      <c r="CT236" s="34"/>
      <c r="CU236" s="34"/>
      <c r="CV236" s="34"/>
      <c r="CW236" s="34"/>
      <c r="CX236" s="34"/>
      <c r="CY236" s="34"/>
      <c r="CZ236" s="34"/>
      <c r="DA236" s="34"/>
      <c r="DB236" s="34"/>
      <c r="DC236" s="34"/>
      <c r="DD236" s="34"/>
      <c r="DE236" s="34"/>
      <c r="DF236" s="34"/>
      <c r="DG236" s="34"/>
      <c r="DH236" s="34"/>
      <c r="DI236" s="34"/>
      <c r="DJ236" s="34"/>
      <c r="DK236" s="34"/>
      <c r="DL236" s="34"/>
      <c r="DM236" s="34"/>
      <c r="DN236" s="34"/>
      <c r="DO236" s="34"/>
      <c r="DP236" s="34"/>
      <c r="DQ236" s="34"/>
      <c r="DR236" s="34"/>
      <c r="DS236" s="34"/>
      <c r="DT236" s="34"/>
      <c r="DU236" s="34"/>
      <c r="DV236" s="34"/>
      <c r="DW236" s="34"/>
      <c r="DX236" s="34"/>
      <c r="DY236" s="34"/>
      <c r="DZ236" s="34"/>
    </row>
    <row r="237" spans="1:130" x14ac:dyDescent="0.25">
      <c r="A237" s="34"/>
      <c r="B237" s="37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  <c r="BV237" s="34"/>
      <c r="BW237" s="34"/>
      <c r="BX237" s="34"/>
      <c r="BY237" s="34"/>
      <c r="BZ237" s="34"/>
      <c r="CA237" s="34"/>
      <c r="CB237" s="34"/>
      <c r="CC237" s="34"/>
      <c r="CD237" s="34"/>
      <c r="CE237" s="34"/>
      <c r="CF237" s="34"/>
      <c r="CG237" s="34"/>
      <c r="CH237" s="34"/>
      <c r="CI237" s="34"/>
      <c r="CJ237" s="34"/>
      <c r="CK237" s="34"/>
      <c r="CL237" s="34"/>
      <c r="CM237" s="34"/>
      <c r="CN237" s="34"/>
      <c r="CO237" s="34"/>
      <c r="CP237" s="34"/>
      <c r="CQ237" s="34"/>
      <c r="CR237" s="34"/>
      <c r="CS237" s="34"/>
      <c r="CT237" s="34"/>
      <c r="CU237" s="34"/>
      <c r="CV237" s="34"/>
      <c r="CW237" s="34"/>
      <c r="CX237" s="34"/>
      <c r="CY237" s="34"/>
      <c r="CZ237" s="34"/>
      <c r="DA237" s="34"/>
      <c r="DB237" s="34"/>
      <c r="DC237" s="34"/>
      <c r="DD237" s="34"/>
      <c r="DE237" s="34"/>
      <c r="DF237" s="34"/>
      <c r="DG237" s="34"/>
      <c r="DH237" s="34"/>
      <c r="DI237" s="34"/>
      <c r="DJ237" s="34"/>
      <c r="DK237" s="34"/>
      <c r="DL237" s="34"/>
      <c r="DM237" s="34"/>
      <c r="DN237" s="34"/>
      <c r="DO237" s="34"/>
      <c r="DP237" s="34"/>
      <c r="DQ237" s="34"/>
      <c r="DR237" s="34"/>
      <c r="DS237" s="34"/>
      <c r="DT237" s="34"/>
      <c r="DU237" s="34"/>
      <c r="DV237" s="34"/>
      <c r="DW237" s="34"/>
      <c r="DX237" s="34"/>
      <c r="DY237" s="34"/>
      <c r="DZ237" s="34"/>
    </row>
    <row r="238" spans="1:130" x14ac:dyDescent="0.25">
      <c r="A238" s="34"/>
      <c r="B238" s="37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  <c r="BZ238" s="34"/>
      <c r="CA238" s="34"/>
      <c r="CB238" s="34"/>
      <c r="CC238" s="34"/>
      <c r="CD238" s="34"/>
      <c r="CE238" s="34"/>
      <c r="CF238" s="34"/>
      <c r="CG238" s="34"/>
      <c r="CH238" s="34"/>
      <c r="CI238" s="34"/>
      <c r="CJ238" s="34"/>
      <c r="CK238" s="34"/>
      <c r="CL238" s="34"/>
      <c r="CM238" s="34"/>
      <c r="CN238" s="34"/>
      <c r="CO238" s="34"/>
      <c r="CP238" s="34"/>
      <c r="CQ238" s="34"/>
      <c r="CR238" s="34"/>
      <c r="CS238" s="34"/>
      <c r="CT238" s="34"/>
      <c r="CU238" s="34"/>
      <c r="CV238" s="34"/>
      <c r="CW238" s="34"/>
      <c r="CX238" s="34"/>
      <c r="CY238" s="34"/>
      <c r="CZ238" s="34"/>
      <c r="DA238" s="34"/>
      <c r="DB238" s="34"/>
      <c r="DC238" s="34"/>
      <c r="DD238" s="34"/>
      <c r="DE238" s="34"/>
      <c r="DF238" s="34"/>
      <c r="DG238" s="34"/>
      <c r="DH238" s="34"/>
      <c r="DI238" s="34"/>
      <c r="DJ238" s="34"/>
      <c r="DK238" s="34"/>
      <c r="DL238" s="34"/>
      <c r="DM238" s="34"/>
      <c r="DN238" s="34"/>
      <c r="DO238" s="34"/>
      <c r="DP238" s="34"/>
      <c r="DQ238" s="34"/>
      <c r="DR238" s="34"/>
      <c r="DS238" s="34"/>
      <c r="DT238" s="34"/>
      <c r="DU238" s="34"/>
      <c r="DV238" s="34"/>
      <c r="DW238" s="34"/>
      <c r="DX238" s="34"/>
      <c r="DY238" s="34"/>
      <c r="DZ238" s="34"/>
    </row>
    <row r="239" spans="1:130" x14ac:dyDescent="0.25">
      <c r="A239" s="34"/>
      <c r="B239" s="37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  <c r="BZ239" s="34"/>
      <c r="CA239" s="34"/>
      <c r="CB239" s="34"/>
      <c r="CC239" s="34"/>
      <c r="CD239" s="34"/>
      <c r="CE239" s="34"/>
      <c r="CF239" s="34"/>
      <c r="CG239" s="34"/>
      <c r="CH239" s="34"/>
      <c r="CI239" s="34"/>
      <c r="CJ239" s="34"/>
      <c r="CK239" s="34"/>
      <c r="CL239" s="34"/>
      <c r="CM239" s="34"/>
      <c r="CN239" s="34"/>
      <c r="CO239" s="34"/>
      <c r="CP239" s="34"/>
      <c r="CQ239" s="34"/>
      <c r="CR239" s="34"/>
      <c r="CS239" s="34"/>
      <c r="CT239" s="34"/>
      <c r="CU239" s="34"/>
      <c r="CV239" s="34"/>
      <c r="CW239" s="34"/>
      <c r="CX239" s="34"/>
      <c r="CY239" s="34"/>
      <c r="CZ239" s="34"/>
      <c r="DA239" s="34"/>
      <c r="DB239" s="34"/>
      <c r="DC239" s="34"/>
      <c r="DD239" s="34"/>
      <c r="DE239" s="34"/>
      <c r="DF239" s="34"/>
      <c r="DG239" s="34"/>
      <c r="DH239" s="34"/>
      <c r="DI239" s="34"/>
      <c r="DJ239" s="34"/>
      <c r="DK239" s="34"/>
      <c r="DL239" s="34"/>
      <c r="DM239" s="34"/>
      <c r="DN239" s="34"/>
      <c r="DO239" s="34"/>
      <c r="DP239" s="34"/>
      <c r="DQ239" s="34"/>
      <c r="DR239" s="34"/>
      <c r="DS239" s="34"/>
      <c r="DT239" s="34"/>
      <c r="DU239" s="34"/>
      <c r="DV239" s="34"/>
      <c r="DW239" s="34"/>
      <c r="DX239" s="34"/>
      <c r="DY239" s="34"/>
      <c r="DZ239" s="34"/>
    </row>
    <row r="240" spans="1:130" x14ac:dyDescent="0.25">
      <c r="A240" s="34"/>
      <c r="B240" s="37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  <c r="CA240" s="34"/>
      <c r="CB240" s="34"/>
      <c r="CC240" s="34"/>
      <c r="CD240" s="34"/>
      <c r="CE240" s="34"/>
      <c r="CF240" s="34"/>
      <c r="CG240" s="34"/>
      <c r="CH240" s="34"/>
      <c r="CI240" s="34"/>
      <c r="CJ240" s="34"/>
      <c r="CK240" s="34"/>
      <c r="CL240" s="34"/>
      <c r="CM240" s="34"/>
      <c r="CN240" s="34"/>
      <c r="CO240" s="34"/>
      <c r="CP240" s="34"/>
      <c r="CQ240" s="34"/>
      <c r="CR240" s="34"/>
      <c r="CS240" s="34"/>
      <c r="CT240" s="34"/>
      <c r="CU240" s="34"/>
      <c r="CV240" s="34"/>
      <c r="CW240" s="34"/>
      <c r="CX240" s="34"/>
      <c r="CY240" s="34"/>
      <c r="CZ240" s="34"/>
      <c r="DA240" s="34"/>
      <c r="DB240" s="34"/>
      <c r="DC240" s="34"/>
      <c r="DD240" s="34"/>
      <c r="DE240" s="34"/>
      <c r="DF240" s="34"/>
      <c r="DG240" s="34"/>
      <c r="DH240" s="34"/>
      <c r="DI240" s="34"/>
      <c r="DJ240" s="34"/>
      <c r="DK240" s="34"/>
      <c r="DL240" s="34"/>
      <c r="DM240" s="34"/>
      <c r="DN240" s="34"/>
      <c r="DO240" s="34"/>
      <c r="DP240" s="34"/>
      <c r="DQ240" s="34"/>
      <c r="DR240" s="34"/>
      <c r="DS240" s="34"/>
      <c r="DT240" s="34"/>
      <c r="DU240" s="34"/>
      <c r="DV240" s="34"/>
      <c r="DW240" s="34"/>
      <c r="DX240" s="34"/>
      <c r="DY240" s="34"/>
      <c r="DZ240" s="34"/>
    </row>
    <row r="241" spans="1:130" x14ac:dyDescent="0.25">
      <c r="A241" s="34"/>
      <c r="B241" s="37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  <c r="CF241" s="34"/>
      <c r="CG241" s="34"/>
      <c r="CH241" s="34"/>
      <c r="CI241" s="34"/>
      <c r="CJ241" s="34"/>
      <c r="CK241" s="34"/>
      <c r="CL241" s="34"/>
      <c r="CM241" s="34"/>
      <c r="CN241" s="34"/>
      <c r="CO241" s="34"/>
      <c r="CP241" s="34"/>
      <c r="CQ241" s="34"/>
      <c r="CR241" s="34"/>
      <c r="CS241" s="34"/>
      <c r="CT241" s="34"/>
      <c r="CU241" s="34"/>
      <c r="CV241" s="34"/>
      <c r="CW241" s="34"/>
      <c r="CX241" s="34"/>
      <c r="CY241" s="34"/>
      <c r="CZ241" s="34"/>
      <c r="DA241" s="34"/>
      <c r="DB241" s="34"/>
      <c r="DC241" s="34"/>
      <c r="DD241" s="34"/>
      <c r="DE241" s="34"/>
      <c r="DF241" s="34"/>
      <c r="DG241" s="34"/>
      <c r="DH241" s="34"/>
      <c r="DI241" s="34"/>
      <c r="DJ241" s="34"/>
      <c r="DK241" s="34"/>
      <c r="DL241" s="34"/>
      <c r="DM241" s="34"/>
      <c r="DN241" s="34"/>
      <c r="DO241" s="34"/>
      <c r="DP241" s="34"/>
      <c r="DQ241" s="34"/>
      <c r="DR241" s="34"/>
      <c r="DS241" s="34"/>
      <c r="DT241" s="34"/>
      <c r="DU241" s="34"/>
      <c r="DV241" s="34"/>
      <c r="DW241" s="34"/>
      <c r="DX241" s="34"/>
      <c r="DY241" s="34"/>
      <c r="DZ241" s="34"/>
    </row>
    <row r="242" spans="1:130" x14ac:dyDescent="0.25">
      <c r="A242" s="34"/>
      <c r="B242" s="37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  <c r="BZ242" s="34"/>
      <c r="CA242" s="34"/>
      <c r="CB242" s="34"/>
      <c r="CC242" s="34"/>
      <c r="CD242" s="34"/>
      <c r="CE242" s="34"/>
      <c r="CF242" s="34"/>
      <c r="CG242" s="34"/>
      <c r="CH242" s="34"/>
      <c r="CI242" s="34"/>
      <c r="CJ242" s="34"/>
      <c r="CK242" s="34"/>
      <c r="CL242" s="34"/>
      <c r="CM242" s="34"/>
      <c r="CN242" s="34"/>
      <c r="CO242" s="34"/>
      <c r="CP242" s="34"/>
      <c r="CQ242" s="34"/>
      <c r="CR242" s="34"/>
      <c r="CS242" s="34"/>
      <c r="CT242" s="34"/>
      <c r="CU242" s="34"/>
      <c r="CV242" s="34"/>
      <c r="CW242" s="34"/>
      <c r="CX242" s="34"/>
      <c r="CY242" s="34"/>
      <c r="CZ242" s="34"/>
      <c r="DA242" s="34"/>
      <c r="DB242" s="34"/>
      <c r="DC242" s="34"/>
      <c r="DD242" s="34"/>
      <c r="DE242" s="34"/>
      <c r="DF242" s="34"/>
      <c r="DG242" s="34"/>
      <c r="DH242" s="34"/>
      <c r="DI242" s="34"/>
      <c r="DJ242" s="34"/>
      <c r="DK242" s="34"/>
      <c r="DL242" s="34"/>
      <c r="DM242" s="34"/>
      <c r="DN242" s="34"/>
      <c r="DO242" s="34"/>
      <c r="DP242" s="34"/>
      <c r="DQ242" s="34"/>
      <c r="DR242" s="34"/>
      <c r="DS242" s="34"/>
      <c r="DT242" s="34"/>
      <c r="DU242" s="34"/>
      <c r="DV242" s="34"/>
      <c r="DW242" s="34"/>
      <c r="DX242" s="34"/>
      <c r="DY242" s="34"/>
      <c r="DZ242" s="34"/>
    </row>
    <row r="243" spans="1:130" x14ac:dyDescent="0.25">
      <c r="A243" s="34"/>
      <c r="B243" s="37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  <c r="BZ243" s="34"/>
      <c r="CA243" s="34"/>
      <c r="CB243" s="34"/>
      <c r="CC243" s="34"/>
      <c r="CD243" s="34"/>
      <c r="CE243" s="34"/>
      <c r="CF243" s="34"/>
      <c r="CG243" s="34"/>
      <c r="CH243" s="34"/>
      <c r="CI243" s="34"/>
      <c r="CJ243" s="34"/>
      <c r="CK243" s="34"/>
      <c r="CL243" s="34"/>
      <c r="CM243" s="34"/>
      <c r="CN243" s="34"/>
      <c r="CO243" s="34"/>
      <c r="CP243" s="34"/>
      <c r="CQ243" s="34"/>
      <c r="CR243" s="34"/>
      <c r="CS243" s="34"/>
      <c r="CT243" s="34"/>
      <c r="CU243" s="34"/>
      <c r="CV243" s="34"/>
      <c r="CW243" s="34"/>
      <c r="CX243" s="34"/>
      <c r="CY243" s="34"/>
      <c r="CZ243" s="34"/>
      <c r="DA243" s="34"/>
      <c r="DB243" s="34"/>
      <c r="DC243" s="34"/>
      <c r="DD243" s="34"/>
      <c r="DE243" s="34"/>
      <c r="DF243" s="34"/>
      <c r="DG243" s="34"/>
      <c r="DH243" s="34"/>
      <c r="DI243" s="34"/>
      <c r="DJ243" s="34"/>
      <c r="DK243" s="34"/>
      <c r="DL243" s="34"/>
      <c r="DM243" s="34"/>
      <c r="DN243" s="34"/>
      <c r="DO243" s="34"/>
      <c r="DP243" s="34"/>
      <c r="DQ243" s="34"/>
      <c r="DR243" s="34"/>
      <c r="DS243" s="34"/>
      <c r="DT243" s="34"/>
      <c r="DU243" s="34"/>
      <c r="DV243" s="34"/>
      <c r="DW243" s="34"/>
      <c r="DX243" s="34"/>
      <c r="DY243" s="34"/>
      <c r="DZ243" s="34"/>
    </row>
    <row r="244" spans="1:130" x14ac:dyDescent="0.25">
      <c r="A244" s="34"/>
      <c r="B244" s="37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  <c r="BZ244" s="34"/>
      <c r="CA244" s="34"/>
      <c r="CB244" s="34"/>
      <c r="CC244" s="34"/>
      <c r="CD244" s="34"/>
      <c r="CE244" s="34"/>
      <c r="CF244" s="34"/>
      <c r="CG244" s="34"/>
      <c r="CH244" s="34"/>
      <c r="CI244" s="34"/>
      <c r="CJ244" s="34"/>
      <c r="CK244" s="34"/>
      <c r="CL244" s="34"/>
      <c r="CM244" s="34"/>
      <c r="CN244" s="34"/>
      <c r="CO244" s="34"/>
      <c r="CP244" s="34"/>
      <c r="CQ244" s="34"/>
      <c r="CR244" s="34"/>
      <c r="CS244" s="34"/>
      <c r="CT244" s="34"/>
      <c r="CU244" s="34"/>
      <c r="CV244" s="34"/>
      <c r="CW244" s="34"/>
      <c r="CX244" s="34"/>
      <c r="CY244" s="34"/>
      <c r="CZ244" s="34"/>
      <c r="DA244" s="34"/>
      <c r="DB244" s="34"/>
      <c r="DC244" s="34"/>
      <c r="DD244" s="34"/>
      <c r="DE244" s="34"/>
      <c r="DF244" s="34"/>
      <c r="DG244" s="34"/>
      <c r="DH244" s="34"/>
      <c r="DI244" s="34"/>
      <c r="DJ244" s="34"/>
      <c r="DK244" s="34"/>
      <c r="DL244" s="34"/>
      <c r="DM244" s="34"/>
      <c r="DN244" s="34"/>
      <c r="DO244" s="34"/>
      <c r="DP244" s="34"/>
      <c r="DQ244" s="34"/>
      <c r="DR244" s="34"/>
      <c r="DS244" s="34"/>
      <c r="DT244" s="34"/>
      <c r="DU244" s="34"/>
      <c r="DV244" s="34"/>
      <c r="DW244" s="34"/>
      <c r="DX244" s="34"/>
      <c r="DY244" s="34"/>
      <c r="DZ244" s="34"/>
    </row>
    <row r="245" spans="1:130" x14ac:dyDescent="0.25">
      <c r="A245" s="34"/>
      <c r="B245" s="37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  <c r="BZ245" s="34"/>
      <c r="CA245" s="34"/>
      <c r="CB245" s="34"/>
      <c r="CC245" s="34"/>
      <c r="CD245" s="34"/>
      <c r="CE245" s="34"/>
      <c r="CF245" s="34"/>
      <c r="CG245" s="34"/>
      <c r="CH245" s="34"/>
      <c r="CI245" s="34"/>
      <c r="CJ245" s="34"/>
      <c r="CK245" s="34"/>
      <c r="CL245" s="34"/>
      <c r="CM245" s="34"/>
      <c r="CN245" s="34"/>
      <c r="CO245" s="34"/>
      <c r="CP245" s="34"/>
      <c r="CQ245" s="34"/>
      <c r="CR245" s="34"/>
      <c r="CS245" s="34"/>
      <c r="CT245" s="34"/>
      <c r="CU245" s="34"/>
      <c r="CV245" s="34"/>
      <c r="CW245" s="34"/>
      <c r="CX245" s="34"/>
      <c r="CY245" s="34"/>
      <c r="CZ245" s="34"/>
      <c r="DA245" s="34"/>
      <c r="DB245" s="34"/>
      <c r="DC245" s="34"/>
      <c r="DD245" s="34"/>
      <c r="DE245" s="34"/>
      <c r="DF245" s="34"/>
      <c r="DG245" s="34"/>
      <c r="DH245" s="34"/>
      <c r="DI245" s="34"/>
      <c r="DJ245" s="34"/>
      <c r="DK245" s="34"/>
      <c r="DL245" s="34"/>
      <c r="DM245" s="34"/>
      <c r="DN245" s="34"/>
      <c r="DO245" s="34"/>
      <c r="DP245" s="34"/>
      <c r="DQ245" s="34"/>
      <c r="DR245" s="34"/>
      <c r="DS245" s="34"/>
      <c r="DT245" s="34"/>
      <c r="DU245" s="34"/>
      <c r="DV245" s="34"/>
      <c r="DW245" s="34"/>
      <c r="DX245" s="34"/>
      <c r="DY245" s="34"/>
      <c r="DZ245" s="34"/>
    </row>
    <row r="246" spans="1:130" x14ac:dyDescent="0.25">
      <c r="A246" s="34"/>
      <c r="B246" s="37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  <c r="BZ246" s="34"/>
      <c r="CA246" s="34"/>
      <c r="CB246" s="34"/>
      <c r="CC246" s="34"/>
      <c r="CD246" s="34"/>
      <c r="CE246" s="34"/>
      <c r="CF246" s="34"/>
      <c r="CG246" s="34"/>
      <c r="CH246" s="34"/>
      <c r="CI246" s="34"/>
      <c r="CJ246" s="34"/>
      <c r="CK246" s="34"/>
      <c r="CL246" s="34"/>
      <c r="CM246" s="34"/>
      <c r="CN246" s="34"/>
      <c r="CO246" s="34"/>
      <c r="CP246" s="34"/>
      <c r="CQ246" s="34"/>
      <c r="CR246" s="34"/>
      <c r="CS246" s="34"/>
      <c r="CT246" s="34"/>
      <c r="CU246" s="34"/>
      <c r="CV246" s="34"/>
      <c r="CW246" s="34"/>
      <c r="CX246" s="34"/>
      <c r="CY246" s="34"/>
      <c r="CZ246" s="34"/>
      <c r="DA246" s="34"/>
      <c r="DB246" s="34"/>
      <c r="DC246" s="34"/>
      <c r="DD246" s="34"/>
      <c r="DE246" s="34"/>
      <c r="DF246" s="34"/>
      <c r="DG246" s="34"/>
      <c r="DH246" s="34"/>
      <c r="DI246" s="34"/>
      <c r="DJ246" s="34"/>
      <c r="DK246" s="34"/>
      <c r="DL246" s="34"/>
      <c r="DM246" s="34"/>
      <c r="DN246" s="34"/>
      <c r="DO246" s="34"/>
      <c r="DP246" s="34"/>
      <c r="DQ246" s="34"/>
      <c r="DR246" s="34"/>
      <c r="DS246" s="34"/>
      <c r="DT246" s="34"/>
      <c r="DU246" s="34"/>
      <c r="DV246" s="34"/>
      <c r="DW246" s="34"/>
      <c r="DX246" s="34"/>
      <c r="DY246" s="34"/>
      <c r="DZ246" s="34"/>
    </row>
    <row r="247" spans="1:130" x14ac:dyDescent="0.25">
      <c r="A247" s="34"/>
      <c r="B247" s="37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  <c r="BZ247" s="34"/>
      <c r="CA247" s="34"/>
      <c r="CB247" s="34"/>
      <c r="CC247" s="34"/>
      <c r="CD247" s="34"/>
      <c r="CE247" s="34"/>
      <c r="CF247" s="34"/>
      <c r="CG247" s="34"/>
      <c r="CH247" s="34"/>
      <c r="CI247" s="34"/>
      <c r="CJ247" s="34"/>
      <c r="CK247" s="34"/>
      <c r="CL247" s="34"/>
      <c r="CM247" s="34"/>
      <c r="CN247" s="34"/>
      <c r="CO247" s="34"/>
      <c r="CP247" s="34"/>
      <c r="CQ247" s="34"/>
      <c r="CR247" s="34"/>
      <c r="CS247" s="34"/>
      <c r="CT247" s="34"/>
      <c r="CU247" s="34"/>
      <c r="CV247" s="34"/>
      <c r="CW247" s="34"/>
      <c r="CX247" s="34"/>
      <c r="CY247" s="34"/>
      <c r="CZ247" s="34"/>
      <c r="DA247" s="34"/>
      <c r="DB247" s="34"/>
      <c r="DC247" s="34"/>
      <c r="DD247" s="34"/>
      <c r="DE247" s="34"/>
      <c r="DF247" s="34"/>
      <c r="DG247" s="34"/>
      <c r="DH247" s="34"/>
      <c r="DI247" s="34"/>
      <c r="DJ247" s="34"/>
      <c r="DK247" s="34"/>
      <c r="DL247" s="34"/>
      <c r="DM247" s="34"/>
      <c r="DN247" s="34"/>
      <c r="DO247" s="34"/>
      <c r="DP247" s="34"/>
      <c r="DQ247" s="34"/>
      <c r="DR247" s="34"/>
      <c r="DS247" s="34"/>
      <c r="DT247" s="34"/>
      <c r="DU247" s="34"/>
      <c r="DV247" s="34"/>
      <c r="DW247" s="34"/>
      <c r="DX247" s="34"/>
      <c r="DY247" s="34"/>
      <c r="DZ247" s="34"/>
    </row>
    <row r="248" spans="1:130" x14ac:dyDescent="0.25">
      <c r="A248" s="34"/>
      <c r="B248" s="37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  <c r="BZ248" s="34"/>
      <c r="CA248" s="34"/>
      <c r="CB248" s="34"/>
      <c r="CC248" s="34"/>
      <c r="CD248" s="34"/>
      <c r="CE248" s="34"/>
      <c r="CF248" s="34"/>
      <c r="CG248" s="34"/>
      <c r="CH248" s="34"/>
      <c r="CI248" s="34"/>
      <c r="CJ248" s="34"/>
      <c r="CK248" s="34"/>
      <c r="CL248" s="34"/>
      <c r="CM248" s="34"/>
      <c r="CN248" s="34"/>
      <c r="CO248" s="34"/>
      <c r="CP248" s="34"/>
      <c r="CQ248" s="34"/>
      <c r="CR248" s="34"/>
      <c r="CS248" s="34"/>
      <c r="CT248" s="34"/>
      <c r="CU248" s="34"/>
      <c r="CV248" s="34"/>
      <c r="CW248" s="34"/>
      <c r="CX248" s="34"/>
      <c r="CY248" s="34"/>
      <c r="CZ248" s="34"/>
      <c r="DA248" s="34"/>
      <c r="DB248" s="34"/>
      <c r="DC248" s="34"/>
      <c r="DD248" s="34"/>
      <c r="DE248" s="34"/>
      <c r="DF248" s="34"/>
      <c r="DG248" s="34"/>
      <c r="DH248" s="34"/>
      <c r="DI248" s="34"/>
      <c r="DJ248" s="34"/>
      <c r="DK248" s="34"/>
      <c r="DL248" s="34"/>
      <c r="DM248" s="34"/>
      <c r="DN248" s="34"/>
      <c r="DO248" s="34"/>
      <c r="DP248" s="34"/>
      <c r="DQ248" s="34"/>
      <c r="DR248" s="34"/>
      <c r="DS248" s="34"/>
      <c r="DT248" s="34"/>
      <c r="DU248" s="34"/>
      <c r="DV248" s="34"/>
      <c r="DW248" s="34"/>
      <c r="DX248" s="34"/>
      <c r="DY248" s="34"/>
      <c r="DZ248" s="34"/>
    </row>
    <row r="249" spans="1:130" x14ac:dyDescent="0.25">
      <c r="A249" s="34"/>
      <c r="B249" s="37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  <c r="BZ249" s="34"/>
      <c r="CA249" s="34"/>
      <c r="CB249" s="34"/>
      <c r="CC249" s="34"/>
      <c r="CD249" s="34"/>
      <c r="CE249" s="34"/>
      <c r="CF249" s="34"/>
      <c r="CG249" s="34"/>
      <c r="CH249" s="34"/>
      <c r="CI249" s="34"/>
      <c r="CJ249" s="34"/>
      <c r="CK249" s="34"/>
      <c r="CL249" s="34"/>
      <c r="CM249" s="34"/>
      <c r="CN249" s="34"/>
      <c r="CO249" s="34"/>
      <c r="CP249" s="34"/>
      <c r="CQ249" s="34"/>
      <c r="CR249" s="34"/>
      <c r="CS249" s="34"/>
      <c r="CT249" s="34"/>
      <c r="CU249" s="34"/>
      <c r="CV249" s="34"/>
      <c r="CW249" s="34"/>
      <c r="CX249" s="34"/>
      <c r="CY249" s="34"/>
      <c r="CZ249" s="34"/>
      <c r="DA249" s="34"/>
      <c r="DB249" s="34"/>
      <c r="DC249" s="34"/>
      <c r="DD249" s="34"/>
      <c r="DE249" s="34"/>
      <c r="DF249" s="34"/>
      <c r="DG249" s="34"/>
      <c r="DH249" s="34"/>
      <c r="DI249" s="34"/>
      <c r="DJ249" s="34"/>
      <c r="DK249" s="34"/>
      <c r="DL249" s="34"/>
      <c r="DM249" s="34"/>
      <c r="DN249" s="34"/>
      <c r="DO249" s="34"/>
      <c r="DP249" s="34"/>
      <c r="DQ249" s="34"/>
      <c r="DR249" s="34"/>
      <c r="DS249" s="34"/>
      <c r="DT249" s="34"/>
      <c r="DU249" s="34"/>
      <c r="DV249" s="34"/>
      <c r="DW249" s="34"/>
      <c r="DX249" s="34"/>
      <c r="DY249" s="34"/>
      <c r="DZ249" s="34"/>
    </row>
    <row r="250" spans="1:130" x14ac:dyDescent="0.25">
      <c r="A250" s="34"/>
      <c r="B250" s="37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  <c r="BX250" s="34"/>
      <c r="BY250" s="34"/>
      <c r="BZ250" s="34"/>
      <c r="CA250" s="34"/>
      <c r="CB250" s="34"/>
      <c r="CC250" s="34"/>
      <c r="CD250" s="34"/>
      <c r="CE250" s="34"/>
      <c r="CF250" s="34"/>
      <c r="CG250" s="34"/>
      <c r="CH250" s="34"/>
      <c r="CI250" s="34"/>
      <c r="CJ250" s="34"/>
      <c r="CK250" s="34"/>
      <c r="CL250" s="34"/>
      <c r="CM250" s="34"/>
      <c r="CN250" s="34"/>
      <c r="CO250" s="34"/>
      <c r="CP250" s="34"/>
      <c r="CQ250" s="34"/>
      <c r="CR250" s="34"/>
      <c r="CS250" s="34"/>
      <c r="CT250" s="34"/>
      <c r="CU250" s="34"/>
      <c r="CV250" s="34"/>
      <c r="CW250" s="34"/>
      <c r="CX250" s="34"/>
      <c r="CY250" s="34"/>
      <c r="CZ250" s="34"/>
      <c r="DA250" s="34"/>
      <c r="DB250" s="34"/>
      <c r="DC250" s="34"/>
      <c r="DD250" s="34"/>
      <c r="DE250" s="34"/>
      <c r="DF250" s="34"/>
      <c r="DG250" s="34"/>
      <c r="DH250" s="34"/>
      <c r="DI250" s="34"/>
      <c r="DJ250" s="34"/>
      <c r="DK250" s="34"/>
      <c r="DL250" s="34"/>
      <c r="DM250" s="34"/>
      <c r="DN250" s="34"/>
      <c r="DO250" s="34"/>
      <c r="DP250" s="34"/>
      <c r="DQ250" s="34"/>
      <c r="DR250" s="34"/>
      <c r="DS250" s="34"/>
      <c r="DT250" s="34"/>
      <c r="DU250" s="34"/>
      <c r="DV250" s="34"/>
      <c r="DW250" s="34"/>
      <c r="DX250" s="34"/>
      <c r="DY250" s="34"/>
      <c r="DZ250" s="34"/>
    </row>
    <row r="251" spans="1:130" x14ac:dyDescent="0.25">
      <c r="A251" s="34"/>
      <c r="B251" s="37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4"/>
      <c r="CA251" s="34"/>
      <c r="CB251" s="34"/>
      <c r="CC251" s="34"/>
      <c r="CD251" s="34"/>
      <c r="CE251" s="34"/>
      <c r="CF251" s="34"/>
      <c r="CG251" s="34"/>
      <c r="CH251" s="34"/>
      <c r="CI251" s="34"/>
      <c r="CJ251" s="34"/>
      <c r="CK251" s="34"/>
      <c r="CL251" s="34"/>
      <c r="CM251" s="34"/>
      <c r="CN251" s="34"/>
      <c r="CO251" s="34"/>
      <c r="CP251" s="34"/>
      <c r="CQ251" s="34"/>
      <c r="CR251" s="34"/>
      <c r="CS251" s="34"/>
      <c r="CT251" s="34"/>
      <c r="CU251" s="34"/>
      <c r="CV251" s="34"/>
      <c r="CW251" s="34"/>
      <c r="CX251" s="34"/>
      <c r="CY251" s="34"/>
      <c r="CZ251" s="34"/>
      <c r="DA251" s="34"/>
      <c r="DB251" s="34"/>
      <c r="DC251" s="34"/>
      <c r="DD251" s="34"/>
      <c r="DE251" s="34"/>
      <c r="DF251" s="34"/>
      <c r="DG251" s="34"/>
      <c r="DH251" s="34"/>
      <c r="DI251" s="34"/>
      <c r="DJ251" s="34"/>
      <c r="DK251" s="34"/>
      <c r="DL251" s="34"/>
      <c r="DM251" s="34"/>
      <c r="DN251" s="34"/>
      <c r="DO251" s="34"/>
      <c r="DP251" s="34"/>
      <c r="DQ251" s="34"/>
      <c r="DR251" s="34"/>
      <c r="DS251" s="34"/>
      <c r="DT251" s="34"/>
      <c r="DU251" s="34"/>
      <c r="DV251" s="34"/>
      <c r="DW251" s="34"/>
      <c r="DX251" s="34"/>
      <c r="DY251" s="34"/>
      <c r="DZ251" s="34"/>
    </row>
    <row r="252" spans="1:130" x14ac:dyDescent="0.25">
      <c r="A252" s="34"/>
      <c r="B252" s="37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  <c r="BX252" s="34"/>
      <c r="BY252" s="34"/>
      <c r="BZ252" s="34"/>
      <c r="CA252" s="34"/>
      <c r="CB252" s="34"/>
      <c r="CC252" s="34"/>
      <c r="CD252" s="34"/>
      <c r="CE252" s="34"/>
      <c r="CF252" s="34"/>
      <c r="CG252" s="34"/>
      <c r="CH252" s="34"/>
      <c r="CI252" s="34"/>
      <c r="CJ252" s="34"/>
      <c r="CK252" s="34"/>
      <c r="CL252" s="34"/>
      <c r="CM252" s="34"/>
      <c r="CN252" s="34"/>
      <c r="CO252" s="34"/>
      <c r="CP252" s="34"/>
      <c r="CQ252" s="34"/>
      <c r="CR252" s="34"/>
      <c r="CS252" s="34"/>
      <c r="CT252" s="34"/>
      <c r="CU252" s="34"/>
      <c r="CV252" s="34"/>
      <c r="CW252" s="34"/>
      <c r="CX252" s="34"/>
      <c r="CY252" s="34"/>
      <c r="CZ252" s="34"/>
      <c r="DA252" s="34"/>
      <c r="DB252" s="34"/>
      <c r="DC252" s="34"/>
      <c r="DD252" s="34"/>
      <c r="DE252" s="34"/>
      <c r="DF252" s="34"/>
      <c r="DG252" s="34"/>
      <c r="DH252" s="34"/>
      <c r="DI252" s="34"/>
      <c r="DJ252" s="34"/>
      <c r="DK252" s="34"/>
      <c r="DL252" s="34"/>
      <c r="DM252" s="34"/>
      <c r="DN252" s="34"/>
      <c r="DO252" s="34"/>
      <c r="DP252" s="34"/>
      <c r="DQ252" s="34"/>
      <c r="DR252" s="34"/>
      <c r="DS252" s="34"/>
      <c r="DT252" s="34"/>
      <c r="DU252" s="34"/>
      <c r="DV252" s="34"/>
      <c r="DW252" s="34"/>
      <c r="DX252" s="34"/>
      <c r="DY252" s="34"/>
      <c r="DZ252" s="34"/>
    </row>
    <row r="253" spans="1:130" x14ac:dyDescent="0.25">
      <c r="A253" s="34"/>
      <c r="B253" s="37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  <c r="BZ253" s="34"/>
      <c r="CA253" s="34"/>
      <c r="CB253" s="34"/>
      <c r="CC253" s="34"/>
      <c r="CD253" s="34"/>
      <c r="CE253" s="34"/>
      <c r="CF253" s="34"/>
      <c r="CG253" s="34"/>
      <c r="CH253" s="34"/>
      <c r="CI253" s="34"/>
      <c r="CJ253" s="34"/>
      <c r="CK253" s="34"/>
      <c r="CL253" s="34"/>
      <c r="CM253" s="34"/>
      <c r="CN253" s="34"/>
      <c r="CO253" s="34"/>
      <c r="CP253" s="34"/>
      <c r="CQ253" s="34"/>
      <c r="CR253" s="34"/>
      <c r="CS253" s="34"/>
      <c r="CT253" s="34"/>
      <c r="CU253" s="34"/>
      <c r="CV253" s="34"/>
      <c r="CW253" s="34"/>
      <c r="CX253" s="34"/>
      <c r="CY253" s="34"/>
      <c r="CZ253" s="34"/>
      <c r="DA253" s="34"/>
      <c r="DB253" s="34"/>
      <c r="DC253" s="34"/>
      <c r="DD253" s="34"/>
      <c r="DE253" s="34"/>
      <c r="DF253" s="34"/>
      <c r="DG253" s="34"/>
      <c r="DH253" s="34"/>
      <c r="DI253" s="34"/>
      <c r="DJ253" s="34"/>
      <c r="DK253" s="34"/>
      <c r="DL253" s="34"/>
      <c r="DM253" s="34"/>
      <c r="DN253" s="34"/>
      <c r="DO253" s="34"/>
      <c r="DP253" s="34"/>
      <c r="DQ253" s="34"/>
      <c r="DR253" s="34"/>
      <c r="DS253" s="34"/>
      <c r="DT253" s="34"/>
      <c r="DU253" s="34"/>
      <c r="DV253" s="34"/>
      <c r="DW253" s="34"/>
      <c r="DX253" s="34"/>
      <c r="DY253" s="34"/>
      <c r="DZ253" s="34"/>
    </row>
    <row r="254" spans="1:130" x14ac:dyDescent="0.25">
      <c r="A254" s="34"/>
      <c r="B254" s="37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4"/>
      <c r="CA254" s="34"/>
      <c r="CB254" s="34"/>
      <c r="CC254" s="34"/>
      <c r="CD254" s="34"/>
      <c r="CE254" s="34"/>
      <c r="CF254" s="34"/>
      <c r="CG254" s="34"/>
      <c r="CH254" s="34"/>
      <c r="CI254" s="34"/>
      <c r="CJ254" s="34"/>
      <c r="CK254" s="34"/>
      <c r="CL254" s="34"/>
      <c r="CM254" s="34"/>
      <c r="CN254" s="34"/>
      <c r="CO254" s="34"/>
      <c r="CP254" s="34"/>
      <c r="CQ254" s="34"/>
      <c r="CR254" s="34"/>
      <c r="CS254" s="34"/>
      <c r="CT254" s="34"/>
      <c r="CU254" s="34"/>
      <c r="CV254" s="34"/>
      <c r="CW254" s="34"/>
      <c r="CX254" s="34"/>
      <c r="CY254" s="34"/>
      <c r="CZ254" s="34"/>
      <c r="DA254" s="34"/>
      <c r="DB254" s="34"/>
      <c r="DC254" s="34"/>
      <c r="DD254" s="34"/>
      <c r="DE254" s="34"/>
      <c r="DF254" s="34"/>
      <c r="DG254" s="34"/>
      <c r="DH254" s="34"/>
      <c r="DI254" s="34"/>
      <c r="DJ254" s="34"/>
      <c r="DK254" s="34"/>
      <c r="DL254" s="34"/>
      <c r="DM254" s="34"/>
      <c r="DN254" s="34"/>
      <c r="DO254" s="34"/>
      <c r="DP254" s="34"/>
      <c r="DQ254" s="34"/>
      <c r="DR254" s="34"/>
      <c r="DS254" s="34"/>
      <c r="DT254" s="34"/>
      <c r="DU254" s="34"/>
      <c r="DV254" s="34"/>
      <c r="DW254" s="34"/>
      <c r="DX254" s="34"/>
      <c r="DY254" s="34"/>
      <c r="DZ254" s="34"/>
    </row>
    <row r="255" spans="1:130" x14ac:dyDescent="0.25">
      <c r="A255" s="34"/>
      <c r="B255" s="37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  <c r="BX255" s="34"/>
      <c r="BY255" s="34"/>
      <c r="BZ255" s="34"/>
      <c r="CA255" s="34"/>
      <c r="CB255" s="34"/>
      <c r="CC255" s="34"/>
      <c r="CD255" s="34"/>
      <c r="CE255" s="34"/>
      <c r="CF255" s="34"/>
      <c r="CG255" s="34"/>
      <c r="CH255" s="34"/>
      <c r="CI255" s="34"/>
      <c r="CJ255" s="34"/>
      <c r="CK255" s="34"/>
      <c r="CL255" s="34"/>
      <c r="CM255" s="34"/>
      <c r="CN255" s="34"/>
      <c r="CO255" s="34"/>
      <c r="CP255" s="34"/>
      <c r="CQ255" s="34"/>
      <c r="CR255" s="34"/>
      <c r="CS255" s="34"/>
      <c r="CT255" s="34"/>
      <c r="CU255" s="34"/>
      <c r="CV255" s="34"/>
      <c r="CW255" s="34"/>
      <c r="CX255" s="34"/>
      <c r="CY255" s="34"/>
      <c r="CZ255" s="34"/>
      <c r="DA255" s="34"/>
      <c r="DB255" s="34"/>
      <c r="DC255" s="34"/>
      <c r="DD255" s="34"/>
      <c r="DE255" s="34"/>
      <c r="DF255" s="34"/>
      <c r="DG255" s="34"/>
      <c r="DH255" s="34"/>
      <c r="DI255" s="34"/>
      <c r="DJ255" s="34"/>
      <c r="DK255" s="34"/>
      <c r="DL255" s="34"/>
      <c r="DM255" s="34"/>
      <c r="DN255" s="34"/>
      <c r="DO255" s="34"/>
      <c r="DP255" s="34"/>
      <c r="DQ255" s="34"/>
      <c r="DR255" s="34"/>
      <c r="DS255" s="34"/>
      <c r="DT255" s="34"/>
      <c r="DU255" s="34"/>
      <c r="DV255" s="34"/>
      <c r="DW255" s="34"/>
      <c r="DX255" s="34"/>
      <c r="DY255" s="34"/>
      <c r="DZ255" s="34"/>
    </row>
    <row r="256" spans="1:130" x14ac:dyDescent="0.25">
      <c r="A256" s="34"/>
      <c r="B256" s="37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  <c r="BX256" s="34"/>
      <c r="BY256" s="34"/>
      <c r="BZ256" s="34"/>
      <c r="CA256" s="34"/>
      <c r="CB256" s="34"/>
      <c r="CC256" s="34"/>
      <c r="CD256" s="34"/>
      <c r="CE256" s="34"/>
      <c r="CF256" s="34"/>
      <c r="CG256" s="34"/>
      <c r="CH256" s="34"/>
      <c r="CI256" s="34"/>
      <c r="CJ256" s="34"/>
      <c r="CK256" s="34"/>
      <c r="CL256" s="34"/>
      <c r="CM256" s="34"/>
      <c r="CN256" s="34"/>
      <c r="CO256" s="34"/>
      <c r="CP256" s="34"/>
      <c r="CQ256" s="34"/>
      <c r="CR256" s="34"/>
      <c r="CS256" s="34"/>
      <c r="CT256" s="34"/>
      <c r="CU256" s="34"/>
      <c r="CV256" s="34"/>
      <c r="CW256" s="34"/>
      <c r="CX256" s="34"/>
      <c r="CY256" s="34"/>
      <c r="CZ256" s="34"/>
      <c r="DA256" s="34"/>
      <c r="DB256" s="34"/>
      <c r="DC256" s="34"/>
      <c r="DD256" s="34"/>
      <c r="DE256" s="34"/>
      <c r="DF256" s="34"/>
      <c r="DG256" s="34"/>
      <c r="DH256" s="34"/>
      <c r="DI256" s="34"/>
      <c r="DJ256" s="34"/>
      <c r="DK256" s="34"/>
      <c r="DL256" s="34"/>
      <c r="DM256" s="34"/>
      <c r="DN256" s="34"/>
      <c r="DO256" s="34"/>
      <c r="DP256" s="34"/>
      <c r="DQ256" s="34"/>
      <c r="DR256" s="34"/>
      <c r="DS256" s="34"/>
      <c r="DT256" s="34"/>
      <c r="DU256" s="34"/>
      <c r="DV256" s="34"/>
      <c r="DW256" s="34"/>
      <c r="DX256" s="34"/>
      <c r="DY256" s="34"/>
      <c r="DZ256" s="34"/>
    </row>
    <row r="257" spans="1:130" x14ac:dyDescent="0.25">
      <c r="A257" s="34"/>
      <c r="B257" s="37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  <c r="BX257" s="34"/>
      <c r="BY257" s="34"/>
      <c r="BZ257" s="34"/>
      <c r="CA257" s="34"/>
      <c r="CB257" s="34"/>
      <c r="CC257" s="34"/>
      <c r="CD257" s="34"/>
      <c r="CE257" s="34"/>
      <c r="CF257" s="34"/>
      <c r="CG257" s="34"/>
      <c r="CH257" s="34"/>
      <c r="CI257" s="34"/>
      <c r="CJ257" s="34"/>
      <c r="CK257" s="34"/>
      <c r="CL257" s="34"/>
      <c r="CM257" s="34"/>
      <c r="CN257" s="34"/>
      <c r="CO257" s="34"/>
      <c r="CP257" s="34"/>
      <c r="CQ257" s="34"/>
      <c r="CR257" s="34"/>
      <c r="CS257" s="34"/>
      <c r="CT257" s="34"/>
      <c r="CU257" s="34"/>
      <c r="CV257" s="34"/>
      <c r="CW257" s="34"/>
      <c r="CX257" s="34"/>
      <c r="CY257" s="34"/>
      <c r="CZ257" s="34"/>
      <c r="DA257" s="34"/>
      <c r="DB257" s="34"/>
      <c r="DC257" s="34"/>
      <c r="DD257" s="34"/>
      <c r="DE257" s="34"/>
      <c r="DF257" s="34"/>
      <c r="DG257" s="34"/>
      <c r="DH257" s="34"/>
      <c r="DI257" s="34"/>
      <c r="DJ257" s="34"/>
      <c r="DK257" s="34"/>
      <c r="DL257" s="34"/>
      <c r="DM257" s="34"/>
      <c r="DN257" s="34"/>
      <c r="DO257" s="34"/>
      <c r="DP257" s="34"/>
      <c r="DQ257" s="34"/>
      <c r="DR257" s="34"/>
      <c r="DS257" s="34"/>
      <c r="DT257" s="34"/>
      <c r="DU257" s="34"/>
      <c r="DV257" s="34"/>
      <c r="DW257" s="34"/>
      <c r="DX257" s="34"/>
      <c r="DY257" s="34"/>
      <c r="DZ257" s="34"/>
    </row>
    <row r="258" spans="1:130" x14ac:dyDescent="0.25">
      <c r="A258" s="34"/>
      <c r="B258" s="37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  <c r="BX258" s="34"/>
      <c r="BY258" s="34"/>
      <c r="BZ258" s="34"/>
      <c r="CA258" s="34"/>
      <c r="CB258" s="34"/>
      <c r="CC258" s="34"/>
      <c r="CD258" s="34"/>
      <c r="CE258" s="34"/>
      <c r="CF258" s="34"/>
      <c r="CG258" s="34"/>
      <c r="CH258" s="34"/>
      <c r="CI258" s="34"/>
      <c r="CJ258" s="34"/>
      <c r="CK258" s="34"/>
      <c r="CL258" s="34"/>
      <c r="CM258" s="34"/>
      <c r="CN258" s="34"/>
      <c r="CO258" s="34"/>
      <c r="CP258" s="34"/>
      <c r="CQ258" s="34"/>
      <c r="CR258" s="34"/>
      <c r="CS258" s="34"/>
      <c r="CT258" s="34"/>
      <c r="CU258" s="34"/>
      <c r="CV258" s="34"/>
      <c r="CW258" s="34"/>
      <c r="CX258" s="34"/>
      <c r="CY258" s="34"/>
      <c r="CZ258" s="34"/>
      <c r="DA258" s="34"/>
      <c r="DB258" s="34"/>
      <c r="DC258" s="34"/>
      <c r="DD258" s="34"/>
      <c r="DE258" s="34"/>
      <c r="DF258" s="34"/>
      <c r="DG258" s="34"/>
      <c r="DH258" s="34"/>
      <c r="DI258" s="34"/>
      <c r="DJ258" s="34"/>
      <c r="DK258" s="34"/>
      <c r="DL258" s="34"/>
      <c r="DM258" s="34"/>
      <c r="DN258" s="34"/>
      <c r="DO258" s="34"/>
      <c r="DP258" s="34"/>
      <c r="DQ258" s="34"/>
      <c r="DR258" s="34"/>
      <c r="DS258" s="34"/>
      <c r="DT258" s="34"/>
      <c r="DU258" s="34"/>
      <c r="DV258" s="34"/>
      <c r="DW258" s="34"/>
      <c r="DX258" s="34"/>
      <c r="DY258" s="34"/>
      <c r="DZ258" s="34"/>
    </row>
    <row r="259" spans="1:130" x14ac:dyDescent="0.25">
      <c r="A259" s="34"/>
      <c r="B259" s="37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  <c r="BX259" s="34"/>
      <c r="BY259" s="34"/>
      <c r="BZ259" s="34"/>
      <c r="CA259" s="34"/>
      <c r="CB259" s="34"/>
      <c r="CC259" s="34"/>
      <c r="CD259" s="34"/>
      <c r="CE259" s="34"/>
      <c r="CF259" s="34"/>
      <c r="CG259" s="34"/>
      <c r="CH259" s="34"/>
      <c r="CI259" s="34"/>
      <c r="CJ259" s="34"/>
      <c r="CK259" s="34"/>
      <c r="CL259" s="34"/>
      <c r="CM259" s="34"/>
      <c r="CN259" s="34"/>
      <c r="CO259" s="34"/>
      <c r="CP259" s="34"/>
      <c r="CQ259" s="34"/>
      <c r="CR259" s="34"/>
      <c r="CS259" s="34"/>
      <c r="CT259" s="34"/>
      <c r="CU259" s="34"/>
      <c r="CV259" s="34"/>
      <c r="CW259" s="34"/>
      <c r="CX259" s="34"/>
      <c r="CY259" s="34"/>
      <c r="CZ259" s="34"/>
      <c r="DA259" s="34"/>
      <c r="DB259" s="34"/>
      <c r="DC259" s="34"/>
      <c r="DD259" s="34"/>
      <c r="DE259" s="34"/>
      <c r="DF259" s="34"/>
      <c r="DG259" s="34"/>
      <c r="DH259" s="34"/>
      <c r="DI259" s="34"/>
      <c r="DJ259" s="34"/>
      <c r="DK259" s="34"/>
      <c r="DL259" s="34"/>
      <c r="DM259" s="34"/>
      <c r="DN259" s="34"/>
      <c r="DO259" s="34"/>
      <c r="DP259" s="34"/>
      <c r="DQ259" s="34"/>
      <c r="DR259" s="34"/>
      <c r="DS259" s="34"/>
      <c r="DT259" s="34"/>
      <c r="DU259" s="34"/>
      <c r="DV259" s="34"/>
      <c r="DW259" s="34"/>
      <c r="DX259" s="34"/>
      <c r="DY259" s="34"/>
      <c r="DZ259" s="34"/>
    </row>
    <row r="260" spans="1:130" x14ac:dyDescent="0.25">
      <c r="A260" s="34"/>
      <c r="B260" s="37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  <c r="BZ260" s="34"/>
      <c r="CA260" s="34"/>
      <c r="CB260" s="34"/>
      <c r="CC260" s="34"/>
      <c r="CD260" s="34"/>
      <c r="CE260" s="34"/>
      <c r="CF260" s="34"/>
      <c r="CG260" s="34"/>
      <c r="CH260" s="34"/>
      <c r="CI260" s="34"/>
      <c r="CJ260" s="34"/>
      <c r="CK260" s="34"/>
      <c r="CL260" s="34"/>
      <c r="CM260" s="34"/>
      <c r="CN260" s="34"/>
      <c r="CO260" s="34"/>
      <c r="CP260" s="34"/>
      <c r="CQ260" s="34"/>
      <c r="CR260" s="34"/>
      <c r="CS260" s="34"/>
      <c r="CT260" s="34"/>
      <c r="CU260" s="34"/>
      <c r="CV260" s="34"/>
      <c r="CW260" s="34"/>
      <c r="CX260" s="34"/>
      <c r="CY260" s="34"/>
      <c r="CZ260" s="34"/>
      <c r="DA260" s="34"/>
      <c r="DB260" s="34"/>
      <c r="DC260" s="34"/>
      <c r="DD260" s="34"/>
      <c r="DE260" s="34"/>
      <c r="DF260" s="34"/>
      <c r="DG260" s="34"/>
      <c r="DH260" s="34"/>
      <c r="DI260" s="34"/>
      <c r="DJ260" s="34"/>
      <c r="DK260" s="34"/>
      <c r="DL260" s="34"/>
      <c r="DM260" s="34"/>
      <c r="DN260" s="34"/>
      <c r="DO260" s="34"/>
      <c r="DP260" s="34"/>
      <c r="DQ260" s="34"/>
      <c r="DR260" s="34"/>
      <c r="DS260" s="34"/>
      <c r="DT260" s="34"/>
      <c r="DU260" s="34"/>
      <c r="DV260" s="34"/>
      <c r="DW260" s="34"/>
      <c r="DX260" s="34"/>
      <c r="DY260" s="34"/>
      <c r="DZ260" s="34"/>
    </row>
    <row r="261" spans="1:130" x14ac:dyDescent="0.25">
      <c r="A261" s="34"/>
      <c r="B261" s="37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  <c r="CA261" s="34"/>
      <c r="CB261" s="34"/>
      <c r="CC261" s="34"/>
      <c r="CD261" s="34"/>
      <c r="CE261" s="34"/>
      <c r="CF261" s="34"/>
      <c r="CG261" s="34"/>
      <c r="CH261" s="34"/>
      <c r="CI261" s="34"/>
      <c r="CJ261" s="34"/>
      <c r="CK261" s="34"/>
      <c r="CL261" s="34"/>
      <c r="CM261" s="34"/>
      <c r="CN261" s="34"/>
      <c r="CO261" s="34"/>
      <c r="CP261" s="34"/>
      <c r="CQ261" s="34"/>
      <c r="CR261" s="34"/>
      <c r="CS261" s="34"/>
      <c r="CT261" s="34"/>
      <c r="CU261" s="34"/>
      <c r="CV261" s="34"/>
      <c r="CW261" s="34"/>
      <c r="CX261" s="34"/>
      <c r="CY261" s="34"/>
      <c r="CZ261" s="34"/>
      <c r="DA261" s="34"/>
      <c r="DB261" s="34"/>
      <c r="DC261" s="34"/>
      <c r="DD261" s="34"/>
      <c r="DE261" s="34"/>
      <c r="DF261" s="34"/>
      <c r="DG261" s="34"/>
      <c r="DH261" s="34"/>
      <c r="DI261" s="34"/>
      <c r="DJ261" s="34"/>
      <c r="DK261" s="34"/>
      <c r="DL261" s="34"/>
      <c r="DM261" s="34"/>
      <c r="DN261" s="34"/>
      <c r="DO261" s="34"/>
      <c r="DP261" s="34"/>
      <c r="DQ261" s="34"/>
      <c r="DR261" s="34"/>
      <c r="DS261" s="34"/>
      <c r="DT261" s="34"/>
      <c r="DU261" s="34"/>
      <c r="DV261" s="34"/>
      <c r="DW261" s="34"/>
      <c r="DX261" s="34"/>
      <c r="DY261" s="34"/>
      <c r="DZ261" s="34"/>
    </row>
    <row r="262" spans="1:130" x14ac:dyDescent="0.25">
      <c r="A262" s="34"/>
      <c r="B262" s="37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  <c r="BV262" s="34"/>
      <c r="BW262" s="34"/>
      <c r="BX262" s="34"/>
      <c r="BY262" s="34"/>
      <c r="BZ262" s="34"/>
      <c r="CA262" s="34"/>
      <c r="CB262" s="34"/>
      <c r="CC262" s="34"/>
      <c r="CD262" s="34"/>
      <c r="CE262" s="34"/>
      <c r="CF262" s="34"/>
      <c r="CG262" s="34"/>
      <c r="CH262" s="34"/>
      <c r="CI262" s="34"/>
      <c r="CJ262" s="34"/>
      <c r="CK262" s="34"/>
      <c r="CL262" s="34"/>
      <c r="CM262" s="34"/>
      <c r="CN262" s="34"/>
      <c r="CO262" s="34"/>
      <c r="CP262" s="34"/>
      <c r="CQ262" s="34"/>
      <c r="CR262" s="34"/>
      <c r="CS262" s="34"/>
      <c r="CT262" s="34"/>
      <c r="CU262" s="34"/>
      <c r="CV262" s="34"/>
      <c r="CW262" s="34"/>
      <c r="CX262" s="34"/>
      <c r="CY262" s="34"/>
      <c r="CZ262" s="34"/>
      <c r="DA262" s="34"/>
      <c r="DB262" s="34"/>
      <c r="DC262" s="34"/>
      <c r="DD262" s="34"/>
      <c r="DE262" s="34"/>
      <c r="DF262" s="34"/>
      <c r="DG262" s="34"/>
      <c r="DH262" s="34"/>
      <c r="DI262" s="34"/>
      <c r="DJ262" s="34"/>
      <c r="DK262" s="34"/>
      <c r="DL262" s="34"/>
      <c r="DM262" s="34"/>
      <c r="DN262" s="34"/>
      <c r="DO262" s="34"/>
      <c r="DP262" s="34"/>
      <c r="DQ262" s="34"/>
      <c r="DR262" s="34"/>
      <c r="DS262" s="34"/>
      <c r="DT262" s="34"/>
      <c r="DU262" s="34"/>
      <c r="DV262" s="34"/>
      <c r="DW262" s="34"/>
      <c r="DX262" s="34"/>
      <c r="DY262" s="34"/>
      <c r="DZ262" s="34"/>
    </row>
    <row r="263" spans="1:130" x14ac:dyDescent="0.25">
      <c r="A263" s="34"/>
      <c r="B263" s="37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4"/>
      <c r="CA263" s="34"/>
      <c r="CB263" s="34"/>
      <c r="CC263" s="34"/>
      <c r="CD263" s="34"/>
      <c r="CE263" s="34"/>
      <c r="CF263" s="34"/>
      <c r="CG263" s="34"/>
      <c r="CH263" s="34"/>
      <c r="CI263" s="34"/>
      <c r="CJ263" s="34"/>
      <c r="CK263" s="34"/>
      <c r="CL263" s="34"/>
      <c r="CM263" s="34"/>
      <c r="CN263" s="34"/>
      <c r="CO263" s="34"/>
      <c r="CP263" s="34"/>
      <c r="CQ263" s="34"/>
      <c r="CR263" s="34"/>
      <c r="CS263" s="34"/>
      <c r="CT263" s="34"/>
      <c r="CU263" s="34"/>
      <c r="CV263" s="34"/>
      <c r="CW263" s="34"/>
      <c r="CX263" s="34"/>
      <c r="CY263" s="34"/>
      <c r="CZ263" s="34"/>
      <c r="DA263" s="34"/>
      <c r="DB263" s="34"/>
      <c r="DC263" s="34"/>
      <c r="DD263" s="34"/>
      <c r="DE263" s="34"/>
      <c r="DF263" s="34"/>
      <c r="DG263" s="34"/>
      <c r="DH263" s="34"/>
      <c r="DI263" s="34"/>
      <c r="DJ263" s="34"/>
      <c r="DK263" s="34"/>
      <c r="DL263" s="34"/>
      <c r="DM263" s="34"/>
      <c r="DN263" s="34"/>
      <c r="DO263" s="34"/>
      <c r="DP263" s="34"/>
      <c r="DQ263" s="34"/>
      <c r="DR263" s="34"/>
      <c r="DS263" s="34"/>
      <c r="DT263" s="34"/>
      <c r="DU263" s="34"/>
      <c r="DV263" s="34"/>
      <c r="DW263" s="34"/>
      <c r="DX263" s="34"/>
      <c r="DY263" s="34"/>
      <c r="DZ263" s="34"/>
    </row>
    <row r="264" spans="1:130" x14ac:dyDescent="0.25">
      <c r="A264" s="34"/>
      <c r="B264" s="37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  <c r="CO264" s="34"/>
      <c r="CP264" s="34"/>
      <c r="CQ264" s="34"/>
      <c r="CR264" s="34"/>
      <c r="CS264" s="34"/>
      <c r="CT264" s="34"/>
      <c r="CU264" s="34"/>
      <c r="CV264" s="34"/>
      <c r="CW264" s="34"/>
      <c r="CX264" s="34"/>
      <c r="CY264" s="34"/>
      <c r="CZ264" s="34"/>
      <c r="DA264" s="34"/>
      <c r="DB264" s="34"/>
      <c r="DC264" s="34"/>
      <c r="DD264" s="34"/>
      <c r="DE264" s="34"/>
      <c r="DF264" s="34"/>
      <c r="DG264" s="34"/>
      <c r="DH264" s="34"/>
      <c r="DI264" s="34"/>
      <c r="DJ264" s="34"/>
      <c r="DK264" s="34"/>
      <c r="DL264" s="34"/>
      <c r="DM264" s="34"/>
      <c r="DN264" s="34"/>
      <c r="DO264" s="34"/>
      <c r="DP264" s="34"/>
      <c r="DQ264" s="34"/>
      <c r="DR264" s="34"/>
      <c r="DS264" s="34"/>
      <c r="DT264" s="34"/>
      <c r="DU264" s="34"/>
      <c r="DV264" s="34"/>
      <c r="DW264" s="34"/>
      <c r="DX264" s="34"/>
      <c r="DY264" s="34"/>
      <c r="DZ264" s="34"/>
    </row>
    <row r="265" spans="1:130" x14ac:dyDescent="0.25">
      <c r="A265" s="34"/>
      <c r="B265" s="37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4"/>
      <c r="CA265" s="34"/>
      <c r="CB265" s="34"/>
      <c r="CC265" s="34"/>
      <c r="CD265" s="34"/>
      <c r="CE265" s="34"/>
      <c r="CF265" s="34"/>
      <c r="CG265" s="34"/>
      <c r="CH265" s="34"/>
      <c r="CI265" s="34"/>
      <c r="CJ265" s="34"/>
      <c r="CK265" s="34"/>
      <c r="CL265" s="34"/>
      <c r="CM265" s="34"/>
      <c r="CN265" s="34"/>
      <c r="CO265" s="34"/>
      <c r="CP265" s="34"/>
      <c r="CQ265" s="34"/>
      <c r="CR265" s="34"/>
      <c r="CS265" s="34"/>
      <c r="CT265" s="34"/>
      <c r="CU265" s="34"/>
      <c r="CV265" s="34"/>
      <c r="CW265" s="34"/>
      <c r="CX265" s="34"/>
      <c r="CY265" s="34"/>
      <c r="CZ265" s="34"/>
      <c r="DA265" s="34"/>
      <c r="DB265" s="34"/>
      <c r="DC265" s="34"/>
      <c r="DD265" s="34"/>
      <c r="DE265" s="34"/>
      <c r="DF265" s="34"/>
      <c r="DG265" s="34"/>
      <c r="DH265" s="34"/>
      <c r="DI265" s="34"/>
      <c r="DJ265" s="34"/>
      <c r="DK265" s="34"/>
      <c r="DL265" s="34"/>
      <c r="DM265" s="34"/>
      <c r="DN265" s="34"/>
      <c r="DO265" s="34"/>
      <c r="DP265" s="34"/>
      <c r="DQ265" s="34"/>
      <c r="DR265" s="34"/>
      <c r="DS265" s="34"/>
      <c r="DT265" s="34"/>
      <c r="DU265" s="34"/>
      <c r="DV265" s="34"/>
      <c r="DW265" s="34"/>
      <c r="DX265" s="34"/>
      <c r="DY265" s="34"/>
      <c r="DZ265" s="34"/>
    </row>
    <row r="266" spans="1:130" x14ac:dyDescent="0.25">
      <c r="A266" s="34"/>
      <c r="B266" s="37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4"/>
      <c r="CA266" s="34"/>
      <c r="CB266" s="34"/>
      <c r="CC266" s="34"/>
      <c r="CD266" s="34"/>
      <c r="CE266" s="34"/>
      <c r="CF266" s="34"/>
      <c r="CG266" s="34"/>
      <c r="CH266" s="34"/>
      <c r="CI266" s="34"/>
      <c r="CJ266" s="34"/>
      <c r="CK266" s="34"/>
      <c r="CL266" s="34"/>
      <c r="CM266" s="34"/>
      <c r="CN266" s="34"/>
      <c r="CO266" s="34"/>
      <c r="CP266" s="34"/>
      <c r="CQ266" s="34"/>
      <c r="CR266" s="34"/>
      <c r="CS266" s="34"/>
      <c r="CT266" s="34"/>
      <c r="CU266" s="34"/>
      <c r="CV266" s="34"/>
      <c r="CW266" s="34"/>
      <c r="CX266" s="34"/>
      <c r="CY266" s="34"/>
      <c r="CZ266" s="34"/>
      <c r="DA266" s="34"/>
      <c r="DB266" s="34"/>
      <c r="DC266" s="34"/>
      <c r="DD266" s="34"/>
      <c r="DE266" s="34"/>
      <c r="DF266" s="34"/>
      <c r="DG266" s="34"/>
      <c r="DH266" s="34"/>
      <c r="DI266" s="34"/>
      <c r="DJ266" s="34"/>
      <c r="DK266" s="34"/>
      <c r="DL266" s="34"/>
      <c r="DM266" s="34"/>
      <c r="DN266" s="34"/>
      <c r="DO266" s="34"/>
      <c r="DP266" s="34"/>
      <c r="DQ266" s="34"/>
      <c r="DR266" s="34"/>
      <c r="DS266" s="34"/>
      <c r="DT266" s="34"/>
      <c r="DU266" s="34"/>
      <c r="DV266" s="34"/>
      <c r="DW266" s="34"/>
      <c r="DX266" s="34"/>
      <c r="DY266" s="34"/>
      <c r="DZ266" s="34"/>
    </row>
    <row r="267" spans="1:130" x14ac:dyDescent="0.25">
      <c r="A267" s="34"/>
      <c r="B267" s="37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4"/>
      <c r="CA267" s="34"/>
      <c r="CB267" s="34"/>
      <c r="CC267" s="34"/>
      <c r="CD267" s="34"/>
      <c r="CE267" s="34"/>
      <c r="CF267" s="34"/>
      <c r="CG267" s="34"/>
      <c r="CH267" s="34"/>
      <c r="CI267" s="34"/>
      <c r="CJ267" s="34"/>
      <c r="CK267" s="34"/>
      <c r="CL267" s="34"/>
      <c r="CM267" s="34"/>
      <c r="CN267" s="34"/>
      <c r="CO267" s="34"/>
      <c r="CP267" s="34"/>
      <c r="CQ267" s="34"/>
      <c r="CR267" s="34"/>
      <c r="CS267" s="34"/>
      <c r="CT267" s="34"/>
      <c r="CU267" s="34"/>
      <c r="CV267" s="34"/>
      <c r="CW267" s="34"/>
      <c r="CX267" s="34"/>
      <c r="CY267" s="34"/>
      <c r="CZ267" s="34"/>
      <c r="DA267" s="34"/>
      <c r="DB267" s="34"/>
      <c r="DC267" s="34"/>
      <c r="DD267" s="34"/>
      <c r="DE267" s="34"/>
      <c r="DF267" s="34"/>
      <c r="DG267" s="34"/>
      <c r="DH267" s="34"/>
      <c r="DI267" s="34"/>
      <c r="DJ267" s="34"/>
      <c r="DK267" s="34"/>
      <c r="DL267" s="34"/>
      <c r="DM267" s="34"/>
      <c r="DN267" s="34"/>
      <c r="DO267" s="34"/>
      <c r="DP267" s="34"/>
      <c r="DQ267" s="34"/>
      <c r="DR267" s="34"/>
      <c r="DS267" s="34"/>
      <c r="DT267" s="34"/>
      <c r="DU267" s="34"/>
      <c r="DV267" s="34"/>
      <c r="DW267" s="34"/>
      <c r="DX267" s="34"/>
      <c r="DY267" s="34"/>
      <c r="DZ267" s="34"/>
    </row>
    <row r="268" spans="1:130" x14ac:dyDescent="0.25">
      <c r="A268" s="34"/>
      <c r="B268" s="37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  <c r="BX268" s="34"/>
      <c r="BY268" s="34"/>
      <c r="BZ268" s="34"/>
      <c r="CA268" s="34"/>
      <c r="CB268" s="34"/>
      <c r="CC268" s="34"/>
      <c r="CD268" s="34"/>
      <c r="CE268" s="34"/>
      <c r="CF268" s="34"/>
      <c r="CG268" s="34"/>
      <c r="CH268" s="34"/>
      <c r="CI268" s="34"/>
      <c r="CJ268" s="34"/>
      <c r="CK268" s="34"/>
      <c r="CL268" s="34"/>
      <c r="CM268" s="34"/>
      <c r="CN268" s="34"/>
      <c r="CO268" s="34"/>
      <c r="CP268" s="34"/>
      <c r="CQ268" s="34"/>
      <c r="CR268" s="34"/>
      <c r="CS268" s="34"/>
      <c r="CT268" s="34"/>
      <c r="CU268" s="34"/>
      <c r="CV268" s="34"/>
      <c r="CW268" s="34"/>
      <c r="CX268" s="34"/>
      <c r="CY268" s="34"/>
      <c r="CZ268" s="34"/>
      <c r="DA268" s="34"/>
      <c r="DB268" s="34"/>
      <c r="DC268" s="34"/>
      <c r="DD268" s="34"/>
      <c r="DE268" s="34"/>
      <c r="DF268" s="34"/>
      <c r="DG268" s="34"/>
      <c r="DH268" s="34"/>
      <c r="DI268" s="34"/>
      <c r="DJ268" s="34"/>
      <c r="DK268" s="34"/>
      <c r="DL268" s="34"/>
      <c r="DM268" s="34"/>
      <c r="DN268" s="34"/>
      <c r="DO268" s="34"/>
      <c r="DP268" s="34"/>
      <c r="DQ268" s="34"/>
      <c r="DR268" s="34"/>
      <c r="DS268" s="34"/>
      <c r="DT268" s="34"/>
      <c r="DU268" s="34"/>
      <c r="DV268" s="34"/>
      <c r="DW268" s="34"/>
      <c r="DX268" s="34"/>
      <c r="DY268" s="34"/>
      <c r="DZ268" s="34"/>
    </row>
    <row r="269" spans="1:130" x14ac:dyDescent="0.25">
      <c r="A269" s="34"/>
      <c r="B269" s="37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  <c r="BV269" s="34"/>
      <c r="BW269" s="34"/>
      <c r="BX269" s="34"/>
      <c r="BY269" s="34"/>
      <c r="BZ269" s="34"/>
      <c r="CA269" s="34"/>
      <c r="CB269" s="34"/>
      <c r="CC269" s="34"/>
      <c r="CD269" s="34"/>
      <c r="CE269" s="34"/>
      <c r="CF269" s="34"/>
      <c r="CG269" s="34"/>
      <c r="CH269" s="34"/>
      <c r="CI269" s="34"/>
      <c r="CJ269" s="34"/>
      <c r="CK269" s="34"/>
      <c r="CL269" s="34"/>
      <c r="CM269" s="34"/>
      <c r="CN269" s="34"/>
      <c r="CO269" s="34"/>
      <c r="CP269" s="34"/>
      <c r="CQ269" s="34"/>
      <c r="CR269" s="34"/>
      <c r="CS269" s="34"/>
      <c r="CT269" s="34"/>
      <c r="CU269" s="34"/>
      <c r="CV269" s="34"/>
      <c r="CW269" s="34"/>
      <c r="CX269" s="34"/>
      <c r="CY269" s="34"/>
      <c r="CZ269" s="34"/>
      <c r="DA269" s="34"/>
      <c r="DB269" s="34"/>
      <c r="DC269" s="34"/>
      <c r="DD269" s="34"/>
      <c r="DE269" s="34"/>
      <c r="DF269" s="34"/>
      <c r="DG269" s="34"/>
      <c r="DH269" s="34"/>
      <c r="DI269" s="34"/>
      <c r="DJ269" s="34"/>
      <c r="DK269" s="34"/>
      <c r="DL269" s="34"/>
      <c r="DM269" s="34"/>
      <c r="DN269" s="34"/>
      <c r="DO269" s="34"/>
      <c r="DP269" s="34"/>
      <c r="DQ269" s="34"/>
      <c r="DR269" s="34"/>
      <c r="DS269" s="34"/>
      <c r="DT269" s="34"/>
      <c r="DU269" s="34"/>
      <c r="DV269" s="34"/>
      <c r="DW269" s="34"/>
      <c r="DX269" s="34"/>
      <c r="DY269" s="34"/>
      <c r="DZ269" s="34"/>
    </row>
    <row r="270" spans="1:130" x14ac:dyDescent="0.25">
      <c r="A270" s="34"/>
      <c r="B270" s="37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  <c r="BV270" s="34"/>
      <c r="BW270" s="34"/>
      <c r="BX270" s="34"/>
      <c r="BY270" s="34"/>
      <c r="BZ270" s="34"/>
      <c r="CA270" s="34"/>
      <c r="CB270" s="34"/>
      <c r="CC270" s="34"/>
      <c r="CD270" s="34"/>
      <c r="CE270" s="34"/>
      <c r="CF270" s="34"/>
      <c r="CG270" s="34"/>
      <c r="CH270" s="34"/>
      <c r="CI270" s="34"/>
      <c r="CJ270" s="34"/>
      <c r="CK270" s="34"/>
      <c r="CL270" s="34"/>
      <c r="CM270" s="34"/>
      <c r="CN270" s="34"/>
      <c r="CO270" s="34"/>
      <c r="CP270" s="34"/>
      <c r="CQ270" s="34"/>
      <c r="CR270" s="34"/>
      <c r="CS270" s="34"/>
      <c r="CT270" s="34"/>
      <c r="CU270" s="34"/>
      <c r="CV270" s="34"/>
      <c r="CW270" s="34"/>
      <c r="CX270" s="34"/>
      <c r="CY270" s="34"/>
      <c r="CZ270" s="34"/>
      <c r="DA270" s="34"/>
      <c r="DB270" s="34"/>
      <c r="DC270" s="34"/>
      <c r="DD270" s="34"/>
      <c r="DE270" s="34"/>
      <c r="DF270" s="34"/>
      <c r="DG270" s="34"/>
      <c r="DH270" s="34"/>
      <c r="DI270" s="34"/>
      <c r="DJ270" s="34"/>
      <c r="DK270" s="34"/>
      <c r="DL270" s="34"/>
      <c r="DM270" s="34"/>
      <c r="DN270" s="34"/>
      <c r="DO270" s="34"/>
      <c r="DP270" s="34"/>
      <c r="DQ270" s="34"/>
      <c r="DR270" s="34"/>
      <c r="DS270" s="34"/>
      <c r="DT270" s="34"/>
      <c r="DU270" s="34"/>
      <c r="DV270" s="34"/>
      <c r="DW270" s="34"/>
      <c r="DX270" s="34"/>
      <c r="DY270" s="34"/>
      <c r="DZ270" s="34"/>
    </row>
    <row r="271" spans="1:130" x14ac:dyDescent="0.25">
      <c r="A271" s="34"/>
      <c r="B271" s="37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  <c r="BW271" s="34"/>
      <c r="BX271" s="34"/>
      <c r="BY271" s="34"/>
      <c r="BZ271" s="34"/>
      <c r="CA271" s="34"/>
      <c r="CB271" s="34"/>
      <c r="CC271" s="34"/>
      <c r="CD271" s="34"/>
      <c r="CE271" s="34"/>
      <c r="CF271" s="34"/>
      <c r="CG271" s="34"/>
      <c r="CH271" s="34"/>
      <c r="CI271" s="34"/>
      <c r="CJ271" s="34"/>
      <c r="CK271" s="34"/>
      <c r="CL271" s="34"/>
      <c r="CM271" s="34"/>
      <c r="CN271" s="34"/>
      <c r="CO271" s="34"/>
      <c r="CP271" s="34"/>
      <c r="CQ271" s="34"/>
      <c r="CR271" s="34"/>
      <c r="CS271" s="34"/>
      <c r="CT271" s="34"/>
      <c r="CU271" s="34"/>
      <c r="CV271" s="34"/>
      <c r="CW271" s="34"/>
      <c r="CX271" s="34"/>
      <c r="CY271" s="34"/>
      <c r="CZ271" s="34"/>
      <c r="DA271" s="34"/>
      <c r="DB271" s="34"/>
      <c r="DC271" s="34"/>
      <c r="DD271" s="34"/>
      <c r="DE271" s="34"/>
      <c r="DF271" s="34"/>
      <c r="DG271" s="34"/>
      <c r="DH271" s="34"/>
      <c r="DI271" s="34"/>
      <c r="DJ271" s="34"/>
      <c r="DK271" s="34"/>
      <c r="DL271" s="34"/>
      <c r="DM271" s="34"/>
      <c r="DN271" s="34"/>
      <c r="DO271" s="34"/>
      <c r="DP271" s="34"/>
      <c r="DQ271" s="34"/>
      <c r="DR271" s="34"/>
      <c r="DS271" s="34"/>
      <c r="DT271" s="34"/>
      <c r="DU271" s="34"/>
      <c r="DV271" s="34"/>
      <c r="DW271" s="34"/>
      <c r="DX271" s="34"/>
      <c r="DY271" s="34"/>
      <c r="DZ271" s="34"/>
    </row>
    <row r="272" spans="1:130" x14ac:dyDescent="0.25">
      <c r="A272" s="34"/>
      <c r="B272" s="37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  <c r="CA272" s="34"/>
      <c r="CB272" s="34"/>
      <c r="CC272" s="34"/>
      <c r="CD272" s="34"/>
      <c r="CE272" s="34"/>
      <c r="CF272" s="34"/>
      <c r="CG272" s="34"/>
      <c r="CH272" s="34"/>
      <c r="CI272" s="34"/>
      <c r="CJ272" s="34"/>
      <c r="CK272" s="34"/>
      <c r="CL272" s="34"/>
      <c r="CM272" s="34"/>
      <c r="CN272" s="34"/>
      <c r="CO272" s="34"/>
      <c r="CP272" s="34"/>
      <c r="CQ272" s="34"/>
      <c r="CR272" s="34"/>
      <c r="CS272" s="34"/>
      <c r="CT272" s="34"/>
      <c r="CU272" s="34"/>
      <c r="CV272" s="34"/>
      <c r="CW272" s="34"/>
      <c r="CX272" s="34"/>
      <c r="CY272" s="34"/>
      <c r="CZ272" s="34"/>
      <c r="DA272" s="34"/>
      <c r="DB272" s="34"/>
      <c r="DC272" s="34"/>
      <c r="DD272" s="34"/>
      <c r="DE272" s="34"/>
      <c r="DF272" s="34"/>
      <c r="DG272" s="34"/>
      <c r="DH272" s="34"/>
      <c r="DI272" s="34"/>
      <c r="DJ272" s="34"/>
      <c r="DK272" s="34"/>
      <c r="DL272" s="34"/>
      <c r="DM272" s="34"/>
      <c r="DN272" s="34"/>
      <c r="DO272" s="34"/>
      <c r="DP272" s="34"/>
      <c r="DQ272" s="34"/>
      <c r="DR272" s="34"/>
      <c r="DS272" s="34"/>
      <c r="DT272" s="34"/>
      <c r="DU272" s="34"/>
      <c r="DV272" s="34"/>
      <c r="DW272" s="34"/>
      <c r="DX272" s="34"/>
      <c r="DY272" s="34"/>
      <c r="DZ272" s="34"/>
    </row>
    <row r="273" spans="1:130" x14ac:dyDescent="0.25">
      <c r="A273" s="34"/>
      <c r="B273" s="37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  <c r="BV273" s="34"/>
      <c r="BW273" s="34"/>
      <c r="BX273" s="34"/>
      <c r="BY273" s="34"/>
      <c r="BZ273" s="34"/>
      <c r="CA273" s="34"/>
      <c r="CB273" s="34"/>
      <c r="CC273" s="34"/>
      <c r="CD273" s="34"/>
      <c r="CE273" s="34"/>
      <c r="CF273" s="34"/>
      <c r="CG273" s="34"/>
      <c r="CH273" s="34"/>
      <c r="CI273" s="34"/>
      <c r="CJ273" s="34"/>
      <c r="CK273" s="34"/>
      <c r="CL273" s="34"/>
      <c r="CM273" s="34"/>
      <c r="CN273" s="34"/>
      <c r="CO273" s="34"/>
      <c r="CP273" s="34"/>
      <c r="CQ273" s="34"/>
      <c r="CR273" s="34"/>
      <c r="CS273" s="34"/>
      <c r="CT273" s="34"/>
      <c r="CU273" s="34"/>
      <c r="CV273" s="34"/>
      <c r="CW273" s="34"/>
      <c r="CX273" s="34"/>
      <c r="CY273" s="34"/>
      <c r="CZ273" s="34"/>
      <c r="DA273" s="34"/>
      <c r="DB273" s="34"/>
      <c r="DC273" s="34"/>
      <c r="DD273" s="34"/>
      <c r="DE273" s="34"/>
      <c r="DF273" s="34"/>
      <c r="DG273" s="34"/>
      <c r="DH273" s="34"/>
      <c r="DI273" s="34"/>
      <c r="DJ273" s="34"/>
      <c r="DK273" s="34"/>
      <c r="DL273" s="34"/>
      <c r="DM273" s="34"/>
      <c r="DN273" s="34"/>
      <c r="DO273" s="34"/>
      <c r="DP273" s="34"/>
      <c r="DQ273" s="34"/>
      <c r="DR273" s="34"/>
      <c r="DS273" s="34"/>
      <c r="DT273" s="34"/>
      <c r="DU273" s="34"/>
      <c r="DV273" s="34"/>
      <c r="DW273" s="34"/>
      <c r="DX273" s="34"/>
      <c r="DY273" s="34"/>
      <c r="DZ273" s="34"/>
    </row>
    <row r="274" spans="1:130" x14ac:dyDescent="0.25">
      <c r="A274" s="34"/>
      <c r="B274" s="37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  <c r="BV274" s="34"/>
      <c r="BW274" s="34"/>
      <c r="BX274" s="34"/>
      <c r="BY274" s="34"/>
      <c r="BZ274" s="34"/>
      <c r="CA274" s="34"/>
      <c r="CB274" s="34"/>
      <c r="CC274" s="34"/>
      <c r="CD274" s="34"/>
      <c r="CE274" s="34"/>
      <c r="CF274" s="34"/>
      <c r="CG274" s="34"/>
      <c r="CH274" s="34"/>
      <c r="CI274" s="34"/>
      <c r="CJ274" s="34"/>
      <c r="CK274" s="34"/>
      <c r="CL274" s="34"/>
      <c r="CM274" s="34"/>
      <c r="CN274" s="34"/>
      <c r="CO274" s="34"/>
      <c r="CP274" s="34"/>
      <c r="CQ274" s="34"/>
      <c r="CR274" s="34"/>
      <c r="CS274" s="34"/>
      <c r="CT274" s="34"/>
      <c r="CU274" s="34"/>
      <c r="CV274" s="34"/>
      <c r="CW274" s="34"/>
      <c r="CX274" s="34"/>
      <c r="CY274" s="34"/>
      <c r="CZ274" s="34"/>
      <c r="DA274" s="34"/>
      <c r="DB274" s="34"/>
      <c r="DC274" s="34"/>
      <c r="DD274" s="34"/>
      <c r="DE274" s="34"/>
      <c r="DF274" s="34"/>
      <c r="DG274" s="34"/>
      <c r="DH274" s="34"/>
      <c r="DI274" s="34"/>
      <c r="DJ274" s="34"/>
      <c r="DK274" s="34"/>
      <c r="DL274" s="34"/>
      <c r="DM274" s="34"/>
      <c r="DN274" s="34"/>
      <c r="DO274" s="34"/>
      <c r="DP274" s="34"/>
      <c r="DQ274" s="34"/>
      <c r="DR274" s="34"/>
      <c r="DS274" s="34"/>
      <c r="DT274" s="34"/>
      <c r="DU274" s="34"/>
      <c r="DV274" s="34"/>
      <c r="DW274" s="34"/>
      <c r="DX274" s="34"/>
      <c r="DY274" s="34"/>
      <c r="DZ274" s="34"/>
    </row>
    <row r="275" spans="1:130" x14ac:dyDescent="0.25">
      <c r="A275" s="34"/>
      <c r="B275" s="37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  <c r="CM275" s="34"/>
      <c r="CN275" s="34"/>
      <c r="CO275" s="34"/>
      <c r="CP275" s="34"/>
      <c r="CQ275" s="34"/>
      <c r="CR275" s="34"/>
      <c r="CS275" s="34"/>
      <c r="CT275" s="34"/>
      <c r="CU275" s="34"/>
      <c r="CV275" s="34"/>
      <c r="CW275" s="34"/>
      <c r="CX275" s="34"/>
      <c r="CY275" s="34"/>
      <c r="CZ275" s="34"/>
      <c r="DA275" s="34"/>
      <c r="DB275" s="34"/>
      <c r="DC275" s="34"/>
      <c r="DD275" s="34"/>
      <c r="DE275" s="34"/>
      <c r="DF275" s="34"/>
      <c r="DG275" s="34"/>
      <c r="DH275" s="34"/>
      <c r="DI275" s="34"/>
      <c r="DJ275" s="34"/>
      <c r="DK275" s="34"/>
      <c r="DL275" s="34"/>
      <c r="DM275" s="34"/>
      <c r="DN275" s="34"/>
      <c r="DO275" s="34"/>
      <c r="DP275" s="34"/>
      <c r="DQ275" s="34"/>
      <c r="DR275" s="34"/>
      <c r="DS275" s="34"/>
      <c r="DT275" s="34"/>
      <c r="DU275" s="34"/>
      <c r="DV275" s="34"/>
      <c r="DW275" s="34"/>
      <c r="DX275" s="34"/>
      <c r="DY275" s="34"/>
      <c r="DZ275" s="34"/>
    </row>
    <row r="276" spans="1:130" x14ac:dyDescent="0.25">
      <c r="A276" s="34"/>
      <c r="B276" s="37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  <c r="BV276" s="34"/>
      <c r="BW276" s="34"/>
      <c r="BX276" s="34"/>
      <c r="BY276" s="34"/>
      <c r="BZ276" s="34"/>
      <c r="CA276" s="34"/>
      <c r="CB276" s="34"/>
      <c r="CC276" s="34"/>
      <c r="CD276" s="34"/>
      <c r="CE276" s="34"/>
      <c r="CF276" s="34"/>
      <c r="CG276" s="34"/>
      <c r="CH276" s="34"/>
      <c r="CI276" s="34"/>
      <c r="CJ276" s="34"/>
      <c r="CK276" s="34"/>
      <c r="CL276" s="34"/>
      <c r="CM276" s="34"/>
      <c r="CN276" s="34"/>
      <c r="CO276" s="34"/>
      <c r="CP276" s="34"/>
      <c r="CQ276" s="34"/>
      <c r="CR276" s="34"/>
      <c r="CS276" s="34"/>
      <c r="CT276" s="34"/>
      <c r="CU276" s="34"/>
      <c r="CV276" s="34"/>
      <c r="CW276" s="34"/>
      <c r="CX276" s="34"/>
      <c r="CY276" s="34"/>
      <c r="CZ276" s="34"/>
      <c r="DA276" s="34"/>
      <c r="DB276" s="34"/>
      <c r="DC276" s="34"/>
      <c r="DD276" s="34"/>
      <c r="DE276" s="34"/>
      <c r="DF276" s="34"/>
      <c r="DG276" s="34"/>
      <c r="DH276" s="34"/>
      <c r="DI276" s="34"/>
      <c r="DJ276" s="34"/>
      <c r="DK276" s="34"/>
      <c r="DL276" s="34"/>
      <c r="DM276" s="34"/>
      <c r="DN276" s="34"/>
      <c r="DO276" s="34"/>
      <c r="DP276" s="34"/>
      <c r="DQ276" s="34"/>
      <c r="DR276" s="34"/>
      <c r="DS276" s="34"/>
      <c r="DT276" s="34"/>
      <c r="DU276" s="34"/>
      <c r="DV276" s="34"/>
      <c r="DW276" s="34"/>
      <c r="DX276" s="34"/>
      <c r="DY276" s="34"/>
      <c r="DZ276" s="34"/>
    </row>
    <row r="277" spans="1:130" x14ac:dyDescent="0.25"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  <c r="BV277" s="34"/>
      <c r="BW277" s="34"/>
      <c r="BX277" s="34"/>
      <c r="BY277" s="34"/>
      <c r="BZ277" s="34"/>
      <c r="CA277" s="34"/>
      <c r="CB277" s="34"/>
      <c r="CC277" s="34"/>
      <c r="CD277" s="34"/>
      <c r="CE277" s="34"/>
      <c r="CF277" s="34"/>
      <c r="CG277" s="34"/>
      <c r="CH277" s="34"/>
      <c r="CI277" s="34"/>
      <c r="CJ277" s="34"/>
      <c r="CK277" s="34"/>
      <c r="CL277" s="34"/>
      <c r="CM277" s="34"/>
      <c r="CN277" s="34"/>
      <c r="CO277" s="34"/>
      <c r="CP277" s="34"/>
      <c r="CQ277" s="34"/>
      <c r="CR277" s="34"/>
      <c r="CS277" s="34"/>
      <c r="CT277" s="34"/>
      <c r="CU277" s="34"/>
      <c r="CV277" s="34"/>
      <c r="CW277" s="34"/>
      <c r="CX277" s="34"/>
      <c r="CY277" s="34"/>
      <c r="CZ277" s="34"/>
      <c r="DA277" s="34"/>
      <c r="DB277" s="34"/>
      <c r="DC277" s="34"/>
      <c r="DD277" s="34"/>
      <c r="DE277" s="34"/>
      <c r="DF277" s="34"/>
      <c r="DG277" s="34"/>
      <c r="DH277" s="34"/>
      <c r="DI277" s="34"/>
      <c r="DJ277" s="34"/>
      <c r="DK277" s="34"/>
      <c r="DL277" s="34"/>
      <c r="DM277" s="34"/>
      <c r="DN277" s="34"/>
      <c r="DO277" s="34"/>
      <c r="DP277" s="34"/>
      <c r="DQ277" s="34"/>
      <c r="DR277" s="34"/>
      <c r="DS277" s="34"/>
      <c r="DT277" s="34"/>
      <c r="DU277" s="34"/>
      <c r="DV277" s="34"/>
      <c r="DW277" s="34"/>
      <c r="DX277" s="34"/>
      <c r="DY277" s="34"/>
      <c r="DZ277" s="34"/>
    </row>
    <row r="278" spans="1:130" x14ac:dyDescent="0.25"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  <c r="BV278" s="34"/>
      <c r="BW278" s="34"/>
      <c r="BX278" s="34"/>
      <c r="BY278" s="34"/>
      <c r="BZ278" s="34"/>
      <c r="CA278" s="34"/>
      <c r="CB278" s="34"/>
      <c r="CC278" s="34"/>
      <c r="CD278" s="34"/>
      <c r="CE278" s="34"/>
      <c r="CF278" s="34"/>
      <c r="CG278" s="34"/>
      <c r="CH278" s="34"/>
      <c r="CI278" s="34"/>
      <c r="CJ278" s="34"/>
      <c r="CK278" s="34"/>
      <c r="CL278" s="34"/>
      <c r="CM278" s="34"/>
      <c r="CN278" s="34"/>
      <c r="CO278" s="34"/>
      <c r="CP278" s="34"/>
      <c r="CQ278" s="34"/>
      <c r="CR278" s="34"/>
      <c r="CS278" s="34"/>
      <c r="CT278" s="34"/>
      <c r="CU278" s="34"/>
      <c r="CV278" s="34"/>
      <c r="CW278" s="34"/>
      <c r="CX278" s="34"/>
      <c r="CY278" s="34"/>
      <c r="CZ278" s="34"/>
      <c r="DA278" s="34"/>
      <c r="DB278" s="34"/>
      <c r="DC278" s="34"/>
      <c r="DD278" s="34"/>
      <c r="DE278" s="34"/>
      <c r="DF278" s="34"/>
      <c r="DG278" s="34"/>
      <c r="DH278" s="34"/>
      <c r="DI278" s="34"/>
      <c r="DJ278" s="34"/>
      <c r="DK278" s="34"/>
      <c r="DL278" s="34"/>
      <c r="DM278" s="34"/>
      <c r="DN278" s="34"/>
      <c r="DO278" s="34"/>
      <c r="DP278" s="34"/>
      <c r="DQ278" s="34"/>
      <c r="DR278" s="34"/>
      <c r="DS278" s="34"/>
      <c r="DT278" s="34"/>
      <c r="DU278" s="34"/>
      <c r="DV278" s="34"/>
      <c r="DW278" s="34"/>
      <c r="DX278" s="34"/>
      <c r="DY278" s="34"/>
      <c r="DZ278" s="34"/>
    </row>
    <row r="279" spans="1:130" x14ac:dyDescent="0.25"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  <c r="BW279" s="34"/>
      <c r="BX279" s="34"/>
      <c r="BY279" s="34"/>
      <c r="BZ279" s="34"/>
      <c r="CA279" s="34"/>
      <c r="CB279" s="34"/>
      <c r="CC279" s="34"/>
      <c r="CD279" s="34"/>
      <c r="CE279" s="34"/>
      <c r="CF279" s="34"/>
      <c r="CG279" s="34"/>
      <c r="CH279" s="34"/>
      <c r="CI279" s="34"/>
      <c r="CJ279" s="34"/>
      <c r="CK279" s="34"/>
      <c r="CL279" s="34"/>
      <c r="CM279" s="34"/>
      <c r="CN279" s="34"/>
      <c r="CO279" s="34"/>
      <c r="CP279" s="34"/>
      <c r="CQ279" s="34"/>
      <c r="CR279" s="34"/>
      <c r="CS279" s="34"/>
      <c r="CT279" s="34"/>
      <c r="CU279" s="34"/>
      <c r="CV279" s="34"/>
      <c r="CW279" s="34"/>
      <c r="CX279" s="34"/>
      <c r="CY279" s="34"/>
      <c r="CZ279" s="34"/>
      <c r="DA279" s="34"/>
      <c r="DB279" s="34"/>
      <c r="DC279" s="34"/>
      <c r="DD279" s="34"/>
      <c r="DE279" s="34"/>
      <c r="DF279" s="34"/>
      <c r="DG279" s="34"/>
      <c r="DH279" s="34"/>
      <c r="DI279" s="34"/>
      <c r="DJ279" s="34"/>
      <c r="DK279" s="34"/>
      <c r="DL279" s="34"/>
      <c r="DM279" s="34"/>
      <c r="DN279" s="34"/>
      <c r="DO279" s="34"/>
      <c r="DP279" s="34"/>
      <c r="DQ279" s="34"/>
      <c r="DR279" s="34"/>
      <c r="DS279" s="34"/>
      <c r="DT279" s="34"/>
      <c r="DU279" s="34"/>
      <c r="DV279" s="34"/>
      <c r="DW279" s="34"/>
      <c r="DX279" s="34"/>
      <c r="DY279" s="34"/>
      <c r="DZ279" s="34"/>
    </row>
    <row r="280" spans="1:130" x14ac:dyDescent="0.25"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  <c r="BZ280" s="34"/>
      <c r="CA280" s="34"/>
      <c r="CB280" s="34"/>
      <c r="CC280" s="34"/>
      <c r="CD280" s="34"/>
      <c r="CE280" s="34"/>
      <c r="CF280" s="34"/>
      <c r="CG280" s="34"/>
      <c r="CH280" s="34"/>
      <c r="CI280" s="34"/>
      <c r="CJ280" s="34"/>
      <c r="CK280" s="34"/>
      <c r="CL280" s="34"/>
      <c r="CM280" s="34"/>
      <c r="CN280" s="34"/>
      <c r="CO280" s="34"/>
      <c r="CP280" s="34"/>
      <c r="CQ280" s="34"/>
      <c r="CR280" s="34"/>
      <c r="CS280" s="34"/>
      <c r="CT280" s="34"/>
      <c r="CU280" s="34"/>
      <c r="CV280" s="34"/>
      <c r="CW280" s="34"/>
      <c r="CX280" s="34"/>
      <c r="CY280" s="34"/>
      <c r="CZ280" s="34"/>
      <c r="DA280" s="34"/>
      <c r="DB280" s="34"/>
      <c r="DC280" s="34"/>
      <c r="DD280" s="34"/>
      <c r="DE280" s="34"/>
      <c r="DF280" s="34"/>
      <c r="DG280" s="34"/>
      <c r="DH280" s="34"/>
      <c r="DI280" s="34"/>
      <c r="DJ280" s="34"/>
      <c r="DK280" s="34"/>
      <c r="DL280" s="34"/>
      <c r="DM280" s="34"/>
      <c r="DN280" s="34"/>
      <c r="DO280" s="34"/>
      <c r="DP280" s="34"/>
      <c r="DQ280" s="34"/>
      <c r="DR280" s="34"/>
      <c r="DS280" s="34"/>
      <c r="DT280" s="34"/>
      <c r="DU280" s="34"/>
      <c r="DV280" s="34"/>
      <c r="DW280" s="34"/>
      <c r="DX280" s="34"/>
      <c r="DY280" s="34"/>
      <c r="DZ280" s="34"/>
    </row>
    <row r="281" spans="1:130" x14ac:dyDescent="0.25"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  <c r="BV281" s="34"/>
      <c r="BW281" s="34"/>
      <c r="BX281" s="34"/>
      <c r="BY281" s="34"/>
      <c r="BZ281" s="34"/>
      <c r="CA281" s="34"/>
      <c r="CB281" s="34"/>
      <c r="CC281" s="34"/>
      <c r="CD281" s="34"/>
      <c r="CE281" s="34"/>
      <c r="CF281" s="34"/>
      <c r="CG281" s="34"/>
      <c r="CH281" s="34"/>
      <c r="CI281" s="34"/>
      <c r="CJ281" s="34"/>
      <c r="CK281" s="34"/>
      <c r="CL281" s="34"/>
      <c r="CM281" s="34"/>
      <c r="CN281" s="34"/>
      <c r="CO281" s="34"/>
      <c r="CP281" s="34"/>
      <c r="CQ281" s="34"/>
      <c r="CR281" s="34"/>
      <c r="CS281" s="34"/>
      <c r="CT281" s="34"/>
      <c r="CU281" s="34"/>
      <c r="CV281" s="34"/>
      <c r="CW281" s="34"/>
      <c r="CX281" s="34"/>
      <c r="CY281" s="34"/>
      <c r="CZ281" s="34"/>
      <c r="DA281" s="34"/>
      <c r="DB281" s="34"/>
      <c r="DC281" s="34"/>
      <c r="DD281" s="34"/>
      <c r="DE281" s="34"/>
      <c r="DF281" s="34"/>
      <c r="DG281" s="34"/>
      <c r="DH281" s="34"/>
      <c r="DI281" s="34"/>
      <c r="DJ281" s="34"/>
      <c r="DK281" s="34"/>
      <c r="DL281" s="34"/>
      <c r="DM281" s="34"/>
      <c r="DN281" s="34"/>
      <c r="DO281" s="34"/>
      <c r="DP281" s="34"/>
      <c r="DQ281" s="34"/>
      <c r="DR281" s="34"/>
      <c r="DS281" s="34"/>
      <c r="DT281" s="34"/>
      <c r="DU281" s="34"/>
      <c r="DV281" s="34"/>
      <c r="DW281" s="34"/>
      <c r="DX281" s="34"/>
      <c r="DY281" s="34"/>
      <c r="DZ281" s="34"/>
    </row>
    <row r="282" spans="1:130" x14ac:dyDescent="0.25"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  <c r="BV282" s="34"/>
      <c r="BW282" s="34"/>
      <c r="BX282" s="34"/>
      <c r="BY282" s="34"/>
      <c r="BZ282" s="34"/>
      <c r="CA282" s="34"/>
      <c r="CB282" s="34"/>
      <c r="CC282" s="34"/>
      <c r="CD282" s="34"/>
      <c r="CE282" s="34"/>
      <c r="CF282" s="34"/>
      <c r="CG282" s="34"/>
      <c r="CH282" s="34"/>
      <c r="CI282" s="34"/>
      <c r="CJ282" s="34"/>
      <c r="CK282" s="34"/>
      <c r="CL282" s="34"/>
      <c r="CM282" s="34"/>
      <c r="CN282" s="34"/>
      <c r="CO282" s="34"/>
      <c r="CP282" s="34"/>
      <c r="CQ282" s="34"/>
      <c r="CR282" s="34"/>
      <c r="CS282" s="34"/>
      <c r="CT282" s="34"/>
      <c r="CU282" s="34"/>
      <c r="CV282" s="34"/>
      <c r="CW282" s="34"/>
      <c r="CX282" s="34"/>
      <c r="CY282" s="34"/>
      <c r="CZ282" s="34"/>
      <c r="DA282" s="34"/>
      <c r="DB282" s="34"/>
      <c r="DC282" s="34"/>
      <c r="DD282" s="34"/>
      <c r="DE282" s="34"/>
      <c r="DF282" s="34"/>
      <c r="DG282" s="34"/>
      <c r="DH282" s="34"/>
      <c r="DI282" s="34"/>
      <c r="DJ282" s="34"/>
      <c r="DK282" s="34"/>
      <c r="DL282" s="34"/>
      <c r="DM282" s="34"/>
      <c r="DN282" s="34"/>
      <c r="DO282" s="34"/>
      <c r="DP282" s="34"/>
      <c r="DQ282" s="34"/>
      <c r="DR282" s="34"/>
      <c r="DS282" s="34"/>
      <c r="DT282" s="34"/>
      <c r="DU282" s="34"/>
      <c r="DV282" s="34"/>
      <c r="DW282" s="34"/>
      <c r="DX282" s="34"/>
      <c r="DY282" s="34"/>
      <c r="DZ282" s="34"/>
    </row>
    <row r="283" spans="1:130" x14ac:dyDescent="0.25"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  <c r="CO283" s="34"/>
      <c r="CP283" s="34"/>
      <c r="CQ283" s="34"/>
      <c r="CR283" s="34"/>
      <c r="CS283" s="34"/>
      <c r="CT283" s="34"/>
      <c r="CU283" s="34"/>
      <c r="CV283" s="34"/>
      <c r="CW283" s="34"/>
      <c r="CX283" s="34"/>
      <c r="CY283" s="34"/>
      <c r="CZ283" s="34"/>
      <c r="DA283" s="34"/>
      <c r="DB283" s="34"/>
      <c r="DC283" s="34"/>
      <c r="DD283" s="34"/>
      <c r="DE283" s="34"/>
      <c r="DF283" s="34"/>
      <c r="DG283" s="34"/>
      <c r="DH283" s="34"/>
      <c r="DI283" s="34"/>
      <c r="DJ283" s="34"/>
      <c r="DK283" s="34"/>
      <c r="DL283" s="34"/>
      <c r="DM283" s="34"/>
      <c r="DN283" s="34"/>
      <c r="DO283" s="34"/>
      <c r="DP283" s="34"/>
      <c r="DQ283" s="34"/>
      <c r="DR283" s="34"/>
      <c r="DS283" s="34"/>
      <c r="DT283" s="34"/>
      <c r="DU283" s="34"/>
      <c r="DV283" s="34"/>
      <c r="DW283" s="34"/>
      <c r="DX283" s="34"/>
      <c r="DY283" s="34"/>
      <c r="DZ283" s="34"/>
    </row>
    <row r="284" spans="1:130" x14ac:dyDescent="0.25"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  <c r="BV284" s="34"/>
      <c r="BW284" s="34"/>
      <c r="BX284" s="34"/>
      <c r="BY284" s="34"/>
      <c r="BZ284" s="34"/>
      <c r="CA284" s="34"/>
      <c r="CB284" s="34"/>
      <c r="CC284" s="34"/>
      <c r="CD284" s="34"/>
      <c r="CE284" s="34"/>
      <c r="CF284" s="34"/>
      <c r="CG284" s="34"/>
      <c r="CH284" s="34"/>
      <c r="CI284" s="34"/>
      <c r="CJ284" s="34"/>
      <c r="CK284" s="34"/>
      <c r="CL284" s="34"/>
      <c r="CM284" s="34"/>
      <c r="CN284" s="34"/>
      <c r="CO284" s="34"/>
      <c r="CP284" s="34"/>
      <c r="CQ284" s="34"/>
      <c r="CR284" s="34"/>
      <c r="CS284" s="34"/>
      <c r="CT284" s="34"/>
      <c r="CU284" s="34"/>
      <c r="CV284" s="34"/>
      <c r="CW284" s="34"/>
      <c r="CX284" s="34"/>
      <c r="CY284" s="34"/>
      <c r="CZ284" s="34"/>
      <c r="DA284" s="34"/>
      <c r="DB284" s="34"/>
      <c r="DC284" s="34"/>
      <c r="DD284" s="34"/>
      <c r="DE284" s="34"/>
      <c r="DF284" s="34"/>
      <c r="DG284" s="34"/>
      <c r="DH284" s="34"/>
      <c r="DI284" s="34"/>
      <c r="DJ284" s="34"/>
      <c r="DK284" s="34"/>
      <c r="DL284" s="34"/>
      <c r="DM284" s="34"/>
      <c r="DN284" s="34"/>
      <c r="DO284" s="34"/>
      <c r="DP284" s="34"/>
      <c r="DQ284" s="34"/>
      <c r="DR284" s="34"/>
      <c r="DS284" s="34"/>
      <c r="DT284" s="34"/>
      <c r="DU284" s="34"/>
      <c r="DV284" s="34"/>
      <c r="DW284" s="34"/>
      <c r="DX284" s="34"/>
      <c r="DY284" s="34"/>
      <c r="DZ284" s="34"/>
    </row>
    <row r="285" spans="1:130" x14ac:dyDescent="0.25"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  <c r="BV285" s="34"/>
      <c r="BW285" s="34"/>
      <c r="BX285" s="34"/>
      <c r="BY285" s="34"/>
      <c r="BZ285" s="34"/>
      <c r="CA285" s="34"/>
      <c r="CB285" s="34"/>
      <c r="CC285" s="34"/>
      <c r="CD285" s="34"/>
      <c r="CE285" s="34"/>
      <c r="CF285" s="34"/>
      <c r="CG285" s="34"/>
      <c r="CH285" s="34"/>
      <c r="CI285" s="34"/>
      <c r="CJ285" s="34"/>
      <c r="CK285" s="34"/>
      <c r="CL285" s="34"/>
      <c r="CM285" s="34"/>
      <c r="CN285" s="34"/>
      <c r="CO285" s="34"/>
      <c r="CP285" s="34"/>
      <c r="CQ285" s="34"/>
      <c r="CR285" s="34"/>
      <c r="CS285" s="34"/>
      <c r="CT285" s="34"/>
      <c r="CU285" s="34"/>
      <c r="CV285" s="34"/>
      <c r="CW285" s="34"/>
      <c r="CX285" s="34"/>
      <c r="CY285" s="34"/>
      <c r="CZ285" s="34"/>
      <c r="DA285" s="34"/>
      <c r="DB285" s="34"/>
      <c r="DC285" s="34"/>
      <c r="DD285" s="34"/>
      <c r="DE285" s="34"/>
      <c r="DF285" s="34"/>
      <c r="DG285" s="34"/>
      <c r="DH285" s="34"/>
      <c r="DI285" s="34"/>
      <c r="DJ285" s="34"/>
      <c r="DK285" s="34"/>
      <c r="DL285" s="34"/>
      <c r="DM285" s="34"/>
      <c r="DN285" s="34"/>
      <c r="DO285" s="34"/>
      <c r="DP285" s="34"/>
      <c r="DQ285" s="34"/>
      <c r="DR285" s="34"/>
      <c r="DS285" s="34"/>
      <c r="DT285" s="34"/>
      <c r="DU285" s="34"/>
      <c r="DV285" s="34"/>
      <c r="DW285" s="34"/>
      <c r="DX285" s="34"/>
      <c r="DY285" s="34"/>
      <c r="DZ285" s="34"/>
    </row>
    <row r="286" spans="1:130" x14ac:dyDescent="0.25"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  <c r="BV286" s="34"/>
      <c r="BW286" s="34"/>
      <c r="BX286" s="34"/>
      <c r="BY286" s="34"/>
      <c r="BZ286" s="34"/>
      <c r="CA286" s="34"/>
      <c r="CB286" s="34"/>
      <c r="CC286" s="34"/>
      <c r="CD286" s="34"/>
      <c r="CE286" s="34"/>
      <c r="CF286" s="34"/>
      <c r="CG286" s="34"/>
      <c r="CH286" s="34"/>
      <c r="CI286" s="34"/>
      <c r="CJ286" s="34"/>
      <c r="CK286" s="34"/>
      <c r="CL286" s="34"/>
      <c r="CM286" s="34"/>
      <c r="CN286" s="34"/>
      <c r="CO286" s="34"/>
      <c r="CP286" s="34"/>
      <c r="CQ286" s="34"/>
      <c r="CR286" s="34"/>
      <c r="CS286" s="34"/>
      <c r="CT286" s="34"/>
      <c r="CU286" s="34"/>
      <c r="CV286" s="34"/>
      <c r="CW286" s="34"/>
      <c r="CX286" s="34"/>
      <c r="CY286" s="34"/>
      <c r="CZ286" s="34"/>
      <c r="DA286" s="34"/>
      <c r="DB286" s="34"/>
      <c r="DC286" s="34"/>
      <c r="DD286" s="34"/>
      <c r="DE286" s="34"/>
      <c r="DF286" s="34"/>
      <c r="DG286" s="34"/>
      <c r="DH286" s="34"/>
      <c r="DI286" s="34"/>
      <c r="DJ286" s="34"/>
      <c r="DK286" s="34"/>
      <c r="DL286" s="34"/>
      <c r="DM286" s="34"/>
      <c r="DN286" s="34"/>
      <c r="DO286" s="34"/>
      <c r="DP286" s="34"/>
      <c r="DQ286" s="34"/>
      <c r="DR286" s="34"/>
      <c r="DS286" s="34"/>
      <c r="DT286" s="34"/>
      <c r="DU286" s="34"/>
      <c r="DV286" s="34"/>
      <c r="DW286" s="34"/>
      <c r="DX286" s="34"/>
      <c r="DY286" s="34"/>
      <c r="DZ286" s="34"/>
    </row>
  </sheetData>
  <pageMargins left="0.25" right="0.25" top="0.75" bottom="0.75" header="0.3" footer="0.3"/>
  <pageSetup paperSize="9" scale="10" orientation="landscape" useFirstPageNumber="1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F935C-9B0B-4494-A1B9-8FF29B866831}">
  <dimension ref="A1:F11"/>
  <sheetViews>
    <sheetView zoomScaleNormal="100" workbookViewId="0">
      <selection activeCell="F11" sqref="A1:F11"/>
    </sheetView>
  </sheetViews>
  <sheetFormatPr defaultRowHeight="13.2" x14ac:dyDescent="0.25"/>
  <cols>
    <col min="1" max="1" width="27.44140625" customWidth="1"/>
    <col min="2" max="2" width="8.6640625" customWidth="1"/>
    <col min="3" max="3" width="36.21875" customWidth="1"/>
    <col min="4" max="4" width="9.33203125" customWidth="1"/>
    <col min="5" max="5" width="23" customWidth="1"/>
    <col min="6" max="17" width="8.88671875" customWidth="1"/>
  </cols>
  <sheetData>
    <row r="1" spans="1:6" ht="13.8" x14ac:dyDescent="0.25">
      <c r="A1" s="22" t="s">
        <v>26</v>
      </c>
      <c r="B1" s="23"/>
      <c r="C1" s="22" t="s">
        <v>27</v>
      </c>
      <c r="D1" s="23"/>
      <c r="E1" s="23"/>
      <c r="F1" s="23"/>
    </row>
    <row r="2" spans="1:6" ht="28.2" x14ac:dyDescent="0.25">
      <c r="A2" s="24">
        <v>49.974147999000003</v>
      </c>
      <c r="B2" s="23"/>
      <c r="C2" s="24">
        <v>36.019647063310003</v>
      </c>
      <c r="D2" s="23"/>
      <c r="E2" s="25" t="s">
        <v>28</v>
      </c>
      <c r="F2" s="23"/>
    </row>
    <row r="3" spans="1:6" ht="13.8" x14ac:dyDescent="0.25">
      <c r="A3" s="22" t="s">
        <v>29</v>
      </c>
      <c r="B3" s="23"/>
      <c r="C3" s="22" t="s">
        <v>30</v>
      </c>
      <c r="D3" s="23"/>
      <c r="E3" s="23"/>
      <c r="F3" s="23"/>
    </row>
    <row r="4" spans="1:6" ht="28.2" x14ac:dyDescent="0.25">
      <c r="A4" s="24" t="s">
        <v>31</v>
      </c>
      <c r="B4" s="26" t="s">
        <v>32</v>
      </c>
      <c r="C4" s="24" t="s">
        <v>33</v>
      </c>
      <c r="D4" s="26" t="s">
        <v>32</v>
      </c>
      <c r="E4" s="30" t="s">
        <v>44</v>
      </c>
      <c r="F4" s="23"/>
    </row>
    <row r="5" spans="1:6" ht="13.8" x14ac:dyDescent="0.25">
      <c r="A5" s="22" t="s">
        <v>34</v>
      </c>
      <c r="B5" s="23"/>
      <c r="C5" s="23"/>
      <c r="D5" s="23"/>
      <c r="E5" s="23"/>
      <c r="F5" s="23"/>
    </row>
    <row r="6" spans="1:6" ht="28.2" x14ac:dyDescent="0.25">
      <c r="A6" s="24" t="s">
        <v>35</v>
      </c>
      <c r="B6" s="23"/>
      <c r="C6" s="23"/>
      <c r="D6" s="23"/>
      <c r="E6" s="23"/>
      <c r="F6" s="23"/>
    </row>
    <row r="7" spans="1:6" ht="13.8" x14ac:dyDescent="0.25">
      <c r="A7" s="22" t="s">
        <v>36</v>
      </c>
      <c r="B7" s="23"/>
      <c r="C7" s="22" t="s">
        <v>37</v>
      </c>
      <c r="D7" s="23"/>
      <c r="E7" s="23"/>
      <c r="F7" s="23"/>
    </row>
    <row r="8" spans="1:6" ht="28.2" x14ac:dyDescent="0.25">
      <c r="A8" s="24" t="e">
        <f>B</f>
        <v>#NAME?</v>
      </c>
      <c r="B8" s="23"/>
      <c r="C8" s="24">
        <v>36.019647063310003</v>
      </c>
      <c r="D8" s="31" t="s">
        <v>43</v>
      </c>
      <c r="E8" s="25" t="s">
        <v>38</v>
      </c>
      <c r="F8" s="23"/>
    </row>
    <row r="9" spans="1:6" ht="13.8" x14ac:dyDescent="0.25">
      <c r="A9" s="22" t="s">
        <v>39</v>
      </c>
      <c r="B9" s="22" t="s">
        <v>40</v>
      </c>
      <c r="C9" s="22" t="s">
        <v>41</v>
      </c>
      <c r="D9" s="23"/>
      <c r="E9" s="23"/>
      <c r="F9" s="23"/>
    </row>
    <row r="10" spans="1:6" ht="28.2" x14ac:dyDescent="0.25">
      <c r="A10" s="27">
        <v>22</v>
      </c>
      <c r="B10" s="27">
        <v>5</v>
      </c>
      <c r="C10" s="28">
        <v>400</v>
      </c>
      <c r="D10" s="23"/>
      <c r="E10" s="29" t="s">
        <v>42</v>
      </c>
      <c r="F10" s="23"/>
    </row>
    <row r="11" spans="1:6" x14ac:dyDescent="0.25">
      <c r="A11" s="23"/>
      <c r="B11" s="23"/>
      <c r="C11" s="23"/>
      <c r="D11" s="23"/>
      <c r="E11" s="23"/>
      <c r="F11" s="2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6EAEA0-9A8D-42BE-BA29-59DBBF4E4D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2198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Владимир Гарькавенко</cp:lastModifiedBy>
  <cp:revision>26</cp:revision>
  <cp:lastPrinted>2022-07-04T16:54:09Z</cp:lastPrinted>
  <dcterms:created xsi:type="dcterms:W3CDTF">2022-07-03T15:11:52Z</dcterms:created>
  <dcterms:modified xsi:type="dcterms:W3CDTF">2023-10-30T00:23:02Z</dcterms:modified>
  <dc:language>ru-RU</dc:language>
</cp:coreProperties>
</file>